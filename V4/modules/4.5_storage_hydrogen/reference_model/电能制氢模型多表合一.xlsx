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33a9fcffe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先看这里" sheetId="1" r:id="R6c5668f6b44a495c"/>
    <x:sheet xmlns:r="http://schemas.openxmlformats.org/officeDocument/2006/relationships" name="2_输入参数" sheetId="2" r:id="R71e5da9946334260"/>
    <x:sheet xmlns:r="http://schemas.openxmlformats.org/officeDocument/2006/relationships" name="3_最优分配" sheetId="3" r:id="R49365d2260b54daa"/>
    <x:sheet xmlns:r="http://schemas.openxmlformats.org/officeDocument/2006/relationships" name="4_收益与成本" sheetId="4" r:id="Re4b249e4199e4391"/>
    <x:sheet xmlns:r="http://schemas.openxmlformats.org/officeDocument/2006/relationships" name="5_敏感性分析" sheetId="5" r:id="R22890a2598b3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0.00"/>
    <x:numFmt numFmtId="201" formatCode="0.0000"/>
    <x:numFmt numFmtId="202" formatCode="0.0%"/>
    <x:numFmt numFmtId="203" formatCode="0"/>
    <x:numFmt numFmtId="204" formatCode="0.00;[Red]-0.00;0.00"/>
    <x:numFmt numFmtId="205" formatCode="0.000"/>
    <x:numFmt numFmtId="206" formatCode="0%"/>
    <x:numFmt numFmtId="207" formatCode="0.00 &quot;t/日&quot;"/>
    <x:numFmt numFmtId="208" formatCode="0.00 &quot;万元/日&quot;"/>
    <x:numFmt numFmtId="209" formatCode="0.00 &quot;kt/年&quot;"/>
    <x:numFmt numFmtId="210" formatCode="0.00 &quot;百万元/年&quot;"/>
    <x:numFmt numFmtId="211" formatCode="0.00 &quot;元/kg&quot;"/>
    <x:numFmt numFmtId="212" formatCode="0.00 &quot;百万元&quot;"/>
    <x:numFmt numFmtId="213" formatCode="General"/>
  </x:numFmts>
  <x:fonts count="9">
    <x:font>
      <x:sz val="11"/>
      <x:name val="Carlito"/>
    </x:font>
    <x:font>
      <x:b/>
      <x:sz val="18"/>
      <x:color rgb="FFFFFFFF"/>
      <x:name val="宋体"/>
    </x:font>
    <x:font>
      <x:sz val="11"/>
      <x:color rgb="FF000000"/>
      <x:name val="宋体"/>
    </x:font>
    <x:font>
      <x:b/>
      <x:sz val="12"/>
      <x:color rgb="FFFFFFFF"/>
      <x:name val="宋体"/>
    </x:font>
    <x:font>
      <x:sz val="11"/>
      <x:color rgb="FF000000"/>
      <x:name val="宋体"/>
    </x:font>
    <x:font>
      <x:b/>
      <x:sz val="11"/>
      <x:color rgb="FFFFFFFF"/>
      <x:name val="宋体"/>
    </x:font>
    <x:font>
      <x:b/>
      <x:sz val="11"/>
      <x:color rgb="FF000000"/>
      <x:name val="宋体"/>
    </x:font>
    <x:font>
      <x:b/>
      <x:sz val="16"/>
      <x:color rgb="FF000000"/>
      <x:name val="宋体"/>
    </x:font>
    <x:font>
      <x:sz val="11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303030"/>
      </x:patternFill>
    </x:fill>
    <x:fill>
      <x:patternFill patternType="solid">
        <x:fgColor rgb="FFF2F2F2"/>
      </x:patternFill>
    </x:fill>
    <x:fill>
      <x:patternFill patternType="solid">
        <x:fgColor rgb="FF505050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right" vertical="center" wrapText="1"/>
    </x:xf>
    <x:xf numFmtId="200" fontId="4" fillId="6" borderId="0" xfId="0" applyNumberFormat="1" applyFont="1" applyFill="1" applyBorder="1" applyAlignment="1">
      <x:alignment horizontal="righ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right" vertical="center" wrapText="1"/>
    </x:xf>
    <x:xf numFmtId="201" fontId="4" fillId="3" borderId="0" xfId="0" applyNumberFormat="1" applyFont="1" applyFill="1" applyBorder="1" applyAlignment="1">
      <x:alignment horizontal="right" vertical="center" wrapText="1"/>
    </x:xf>
    <x:xf numFmtId="202" fontId="4" fillId="6" borderId="0" xfId="0" applyNumberFormat="1" applyFont="1" applyFill="1" applyBorder="1" applyAlignment="1">
      <x:alignment horizontal="right" vertical="center" wrapText="1"/>
    </x:xf>
    <x:xf numFmtId="203" fontId="4" fillId="6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200" fontId="4" fillId="5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horizontal="right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4" fontId="4" fillId="5" borderId="0" xfId="0" applyNumberFormat="1" applyFont="1" applyFill="1" applyBorder="1" applyAlignment="1">
      <x:alignment horizontal="right" vertical="center" wrapText="1"/>
    </x:xf>
    <x:xf numFmtId="0" fontId="4" fillId="7" borderId="0" xfId="0" applyNumberFormat="1" applyFont="1" applyFill="1" applyBorder="1" applyAlignment="1">
      <x:alignment horizontal="left" vertical="center" wrapText="1"/>
    </x:xf>
    <x:xf numFmtId="204" fontId="4" fillId="7" borderId="0" xfId="0" applyNumberFormat="1" applyFont="1" applyFill="1" applyBorder="1" applyAlignment="1">
      <x:alignment horizontal="right" vertical="center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204" fontId="6" fillId="7" borderId="0" xfId="0" applyNumberFormat="1" applyFont="1" applyFill="1" applyBorder="1" applyAlignment="1">
      <x:alignment horizontal="right" vertical="center" wrapText="1"/>
    </x:xf>
    <x:xf numFmtId="204" fontId="6" fillId="7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right" vertical="center" wrapText="1"/>
    </x:xf>
    <x:xf numFmtId="200" fontId="6" fillId="7" borderId="0" xfId="0" applyNumberFormat="1" applyFont="1" applyFill="1" applyBorder="1" applyAlignment="1">
      <x:alignment horizontal="right" vertical="center" wrapText="1"/>
    </x:xf>
    <x:xf numFmtId="202" fontId="6" fillId="7" borderId="0" xfId="0" applyNumberFormat="1" applyFont="1" applyFill="1" applyBorder="1" applyAlignment="1">
      <x:alignment horizontal="right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203" fontId="4" fillId="5" borderId="0" xfId="0" applyNumberFormat="1" applyFont="1" applyFill="1" applyBorder="1" applyAlignment="1">
      <x:alignment horizontal="right" vertical="center" wrapText="1"/>
    </x:xf>
    <x:xf numFmtId="205" fontId="4" fillId="5" borderId="0" xfId="0" applyNumberFormat="1" applyFont="1" applyFill="1" applyBorder="1" applyAlignment="1">
      <x:alignment horizontal="right" vertical="center" wrapText="1"/>
    </x:xf>
    <x:xf numFmtId="206" fontId="4" fillId="5" borderId="0" xfId="0" applyNumberFormat="1" applyFont="1" applyFill="1" applyBorder="1" applyAlignment="1">
      <x:alignment horizontal="right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0" fontId="7" fillId="7" borderId="0" xfId="0" applyNumberFormat="1" applyFont="1" applyFill="1" applyBorder="1" applyAlignment="1">
      <x:alignment horizontal="center" vertical="center" wrapText="1"/>
    </x:xf>
    <x:xf numFmtId="207" fontId="7" fillId="7" borderId="0" xfId="0" applyNumberFormat="1" applyFont="1" applyFill="1" applyBorder="1" applyAlignment="1">
      <x:alignment horizontal="center" vertical="center" wrapText="1"/>
    </x:xf>
    <x:xf numFmtId="208" fontId="7" fillId="7" borderId="0" xfId="0" applyNumberFormat="1" applyFont="1" applyFill="1" applyBorder="1" applyAlignment="1">
      <x:alignment horizontal="center" vertical="center" wrapText="1"/>
    </x:xf>
    <x:xf numFmtId="209" fontId="7" fillId="7" borderId="0" xfId="0" applyNumberFormat="1" applyFont="1" applyFill="1" applyBorder="1" applyAlignment="1">
      <x:alignment horizontal="center" vertical="center" wrapText="1"/>
    </x:xf>
    <x:xf numFmtId="210" fontId="7" fillId="7" borderId="0" xfId="0" applyNumberFormat="1" applyFont="1" applyFill="1" applyBorder="1" applyAlignment="1">
      <x:alignment horizontal="center" vertical="center" wrapText="1"/>
    </x:xf>
    <x:xf numFmtId="211" fontId="7" fillId="7" borderId="0" xfId="0" applyNumberFormat="1" applyFont="1" applyFill="1" applyBorder="1" applyAlignment="1">
      <x:alignment horizontal="center" vertical="center" wrapText="1"/>
    </x:xf>
    <x:xf numFmtId="212" fontId="7" fillId="7" borderId="0" xfId="0" applyNumberFormat="1" applyFont="1" applyFill="1" applyBorder="1" applyAlignment="1">
      <x:alignment horizontal="center" vertical="center" wrapText="1"/>
    </x:xf>
    <x:xf numFmtId="213" fontId="7" fillId="7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/>
  </x:cellXfs>
  <x:cellStyles count="1">
    <x:cellStyle name="Normal" xfId="0"/>
  </x:cellStyles>
  <x:dxfs count="9">
    <x:dxf>
      <x:font>
        <x:color rgb="FF000000"/>
      </x:font>
      <x:fill>
        <x:patternFill patternType="solid">
          <x:bgColor rgb="FFFFF2CC"/>
        </x:patternFill>
      </x:fill>
    </x:dxf>
    <x:dxf>
      <x:font>
        <x:color rgb="FF000000"/>
      </x:font>
      <x:fill>
        <x:patternFill patternType="solid">
          <x:bgColor rgb="FFE2F0D9"/>
        </x:patternFill>
      </x:fill>
    </x:dxf>
    <x:dxf>
      <x:font>
        <x:color rgb="FFC00000"/>
      </x:font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000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000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0000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831d827df4999" /><Relationship Type="http://schemas.openxmlformats.org/officeDocument/2006/relationships/theme" Target="/xl/theme/theme1.xml" Id="Rb89a6e231cfd473d" /><Relationship Type="http://schemas.openxmlformats.org/officeDocument/2006/relationships/sharedStrings" Target="/xl/sharedStrings.xml" Id="R1b39540234ae4190" /><Relationship Type="http://schemas.openxmlformats.org/officeDocument/2006/relationships/worksheet" Target="/xl/worksheets/sheet1.xml" Id="R6c5668f6b44a495c" /><Relationship Type="http://schemas.openxmlformats.org/officeDocument/2006/relationships/worksheet" Target="/xl/worksheets/sheet2.xml" Id="R71e5da9946334260" /><Relationship Type="http://schemas.openxmlformats.org/officeDocument/2006/relationships/worksheet" Target="/xl/worksheets/sheet3.xml" Id="R49365d2260b54daa" /><Relationship Type="http://schemas.openxmlformats.org/officeDocument/2006/relationships/worksheet" Target="/xl/worksheets/sheet4.xml" Id="Re4b249e4199e4391" /><Relationship Type="http://schemas.openxmlformats.org/officeDocument/2006/relationships/worksheet" Target="/xl/worksheets/sheet5.xml" Id="R22890a2598b346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033562a774487f" /><Relationship Type="http://schemas.openxmlformats.org/officeDocument/2006/relationships/chart" Target="/xl/drawings/charts/chart2.xml" Id="R32492937471a4b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ea52d13d39f40b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e4708c9b7454fcc" /><Relationship Type="http://schemas.openxmlformats.org/officeDocument/2006/relationships/chart" Target="/xl/drawings/charts/chart5.xml" Id="R64550673cec4446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575e87eca2b4466" /><Relationship Type="http://schemas.openxmlformats.org/officeDocument/2006/relationships/chart" Target="/xl/drawings/charts/chart7.xml" Id="R303ec3bfbcb54475" /><Relationship Type="http://schemas.openxmlformats.org/officeDocument/2006/relationships/chart" Target="/xl/drawings/charts/chart8.xml" Id="R9bec89e43e8d4c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优化调度比均匀制氢更赚钱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日增量效益（万元）</c:v>
          </c:tx>
          <c:cat>
            <c:strRef>
              <c:f>'1_先看这里'!$I$35:$I$37</c:f>
              <c:strCache>
                <c:ptCount val="0"/>
              </c:strCache>
            </c:strRef>
          </c:cat>
          <c:val>
            <c:numRef>
              <c:f>'1_先看这里'!$J$35:$J$37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项目财务规模（百万元）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金额（百万元）</c:v>
          </c:tx>
          <c:cat>
            <c:strRef>
              <c:f>'1_先看这里'!$I$40:$I$42</c:f>
              <c:strCache>
                <c:ptCount val="0"/>
              </c:strCache>
            </c:strRef>
          </c:cat>
          <c:val>
            <c:numRef>
              <c:f>'1_先看这里'!$J$40:$J$42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一天内的功率分配（MW）</a:t>
            </a:r>
          </a:p>
        </c:rich>
      </c:tx>
    </c:title>
    <c:plotArea>
      <c:lineChart>
        <c:grouping val="standard"/>
        <c:ser>
          <c:idx val="0"/>
          <c:order val="0"/>
          <c:tx>
            <c:v>新能源功率</c:v>
          </c:tx>
          <c:marker>
            <c:symbol val="none"/>
          </c:marker>
          <c:cat>
            <c:strRef>
              <c:f>'3_最优分配'!$A$22:$A$27</c:f>
              <c:strCache>
                <c:ptCount val="0"/>
              </c:strCache>
            </c:strRef>
          </c:cat>
          <c:val>
            <c:numRef>
              <c:f>'3_最优分配'!$B$22:$B$27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电解槽功率</c:v>
          </c:tx>
          <c:marker>
            <c:symbol val="none"/>
          </c:marker>
          <c:cat>
            <c:strRef>
              <c:f>'3_最优分配'!$A$22:$A$27</c:f>
              <c:strCache>
                <c:ptCount val="0"/>
              </c:strCache>
            </c:strRef>
          </c:cat>
          <c:val>
            <c:numRef>
              <c:f>'3_最优分配'!$C$22:$C$27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外送功率</c:v>
          </c:tx>
          <c:marker>
            <c:symbol val="none"/>
          </c:marker>
          <c:cat>
            <c:strRef>
              <c:f>'3_最优分配'!$A$22:$A$27</c:f>
              <c:strCache>
                <c:ptCount val="0"/>
              </c:strCache>
            </c:strRef>
          </c:cat>
          <c:val>
            <c:numRef>
              <c:f>'3_最优分配'!$D$22:$D$27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BESS 净功率</c:v>
          </c:tx>
          <c:marker>
            <c:symbol val="none"/>
          </c:marker>
          <c:cat>
            <c:strRef>
              <c:f>'3_最优分配'!$A$22:$A$27</c:f>
              <c:strCache>
                <c:ptCount val="0"/>
              </c:strCache>
            </c:strRef>
          </c:cat>
          <c:val>
            <c:numRef>
              <c:f>'3_最优分配'!$E$22:$E$27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不同策略的日增量效益（万元/日）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日增量效益（万元）</c:v>
          </c:tx>
          <c:cat>
            <c:strRef>
              <c:f>'4_收益与成本'!$F$23:$F$25</c:f>
              <c:strCache>
                <c:ptCount val="0"/>
              </c:strCache>
            </c:strRef>
          </c:cat>
          <c:val>
            <c:numRef>
              <c:f>'4_收益与成本'!$G$23:$G$25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年化成本构成（百万元/年）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年化金额（百万元/年）</c:v>
          </c:tx>
          <c:cat>
            <c:strRef>
              <c:f>'4_收益与成本'!$A$17:$A$24</c:f>
              <c:strCache>
                <c:ptCount val="0"/>
              </c:strCache>
            </c:strRef>
          </c:cat>
          <c:val>
            <c:numRef>
              <c:f>'4_收益与成本'!$B$17:$B$24</c:f>
              <c:numCache>
                <c:formatCode>0.00;[Red]-0.00;0.00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氢价越高，NPV 越高</a:t>
            </a:r>
          </a:p>
        </c:rich>
      </c:tx>
    </c:title>
    <c:plotArea>
      <c:lineChart>
        <c:grouping val="standard"/>
        <c:ser>
          <c:idx val="0"/>
          <c:order val="0"/>
          <c:tx>
            <c:v>NPV（百万元）</c:v>
          </c:tx>
          <c:marker>
            <c:symbol val="none"/>
          </c:marker>
          <c:cat>
            <c:strRef>
              <c:f>'5_敏感性分析'!$A$6:$A$10</c:f>
              <c:strCache>
                <c:ptCount val="0"/>
              </c:strCache>
            </c:strRef>
          </c:cat>
          <c:val>
            <c:numRef>
              <c:f>'5_敏感性分析'!$B$6:$B$10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投资越低，NPV 越高</a:t>
            </a:r>
          </a:p>
        </c:rich>
      </c:tx>
    </c:title>
    <c:plotArea>
      <c:lineChart>
        <c:grouping val="standard"/>
        <c:ser>
          <c:idx val="0"/>
          <c:order val="0"/>
          <c:tx>
            <c:v>NPV（百万元）</c:v>
          </c:tx>
          <c:marker>
            <c:symbol val="none"/>
          </c:marker>
          <c:cat>
            <c:strRef>
              <c:f>'5_敏感性分析'!$F$6:$F$8</c:f>
              <c:strCache>
                <c:ptCount val="0"/>
              </c:strCache>
            </c:strRef>
          </c:cat>
          <c:val>
            <c:numRef>
              <c:f>'5_敏感性分析'!$G$6:$G$8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运行天数越多，NPV 越高</a:t>
            </a:r>
          </a:p>
        </c:rich>
      </c:tx>
    </c:title>
    <c:plotArea>
      <c:lineChart>
        <c:grouping val="standard"/>
        <c:ser>
          <c:idx val="0"/>
          <c:order val="0"/>
          <c:tx>
            <c:v>NPV（百万元）</c:v>
          </c:tx>
          <c:marker>
            <c:symbol val="none"/>
          </c:marker>
          <c:cat>
            <c:strRef>
              <c:f>'5_敏感性分析'!$K$6:$K$8</c:f>
              <c:strCache>
                <c:ptCount val="0"/>
              </c:strCache>
            </c:strRef>
          </c:cat>
          <c:val>
            <c:numRef>
              <c:f>'5_敏感性分析'!$L$6:$L$8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033562a774487f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492937471a4b6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a52d13d39f40b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4708c9b7454fcc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550673cec4446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5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75e87eca2b4466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3ec3bfbcb54475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15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ec89e43e8d4c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a13e2e717e4d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59ed04c3ae742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119932eddcc4b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457b136a30e9492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8" hidden="0" customWidth="1"/>
    <x:col min="5" max="5" width="13" hidden="0" customWidth="1"/>
    <x:col min="6" max="6" width="15" hidden="0" customWidth="1"/>
    <x:col min="7" max="7" width="15" hidden="0" customWidth="1"/>
    <x:col min="8" max="8" width="18" hidden="0" customWidth="1"/>
    <x:col min="9" max="9" width="16" hidden="0" customWidth="1"/>
    <x:col min="10" max="10" width="17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2" customHeight="1">
      <x:c r="A1" s="5" t="str">
        <x:v>电能制氢模型｜先看这里</x:v>
      </x:c>
      <x:c r="B1" s="5" t="str">
        <x:v>电能制氢模型｜先看这里</x:v>
      </x:c>
      <x:c r="C1" s="5" t="str">
        <x:v>电能制氢模型｜先看这里</x:v>
      </x:c>
      <x:c r="D1" s="5" t="str">
        <x:v>电能制氢模型｜先看这里</x:v>
      </x:c>
      <x:c r="E1" s="5" t="str">
        <x:v>电能制氢模型｜先看这里</x:v>
      </x:c>
      <x:c r="F1" s="5" t="str">
        <x:v>电能制氢模型｜先看这里</x:v>
      </x:c>
      <x:c r="G1" s="5" t="str">
        <x:v>电能制氢模型｜先看这里</x:v>
      </x:c>
      <x:c r="H1" s="5" t="str">
        <x:v>电能制氢模型｜先看这里</x:v>
      </x:c>
      <x:c r="I1" s="5" t="str">
        <x:v>电能制氢模型｜先看这里</x:v>
      </x:c>
      <x:c r="J1" s="5" t="str">
        <x:v>电能制氢模型｜先看这里</x:v>
      </x:c>
      <x:c r="K1" s="5" t="str">
        <x:v>电能制氢模型｜先看这里</x:v>
      </x:c>
      <x:c r="L1" s="5" t="str">
        <x:v>电能制氢模型｜先看这里</x:v>
      </x:c>
      <x:c r="M1" s="5" t="str">
        <x:v>电能制氢模型｜先看这里</x:v>
      </x:c>
      <x:c r="N1" s="5" t="str">
        <x:v>电能制氢模型｜先看这里</x:v>
      </x:c>
      <x:c r="O1" s="5" t="str">
        <x:v>电能制氢模型｜先看这里</x:v>
      </x:c>
      <x:c r="P1" s="5" t="str">
        <x:v>电能制氢模型｜先看这里</x:v>
      </x:c>
    </x:row>
    <x:row r="2" ht="28" customHeight="1">
      <x:c r="A2" s="10" t="str">
        <x:v>一句话结论：系统在低电价时多制氢、给电池充电，在高电价时少制氢并优先卖电。示例情景下，优化调度比全天均匀制氢每天多获得约 18.38 万元增量效益。</x:v>
      </x:c>
      <x:c r="B2" s="10" t="str">
        <x:v>一句话结论：系统在低电价时多制氢、给电池充电，在高电价时少制氢并优先卖电。示例情景下，优化调度比全天均匀制氢每天多获得约 18.38 万元增量效益。</x:v>
      </x:c>
      <x:c r="C2" s="10" t="str">
        <x:v>一句话结论：系统在低电价时多制氢、给电池充电，在高电价时少制氢并优先卖电。示例情景下，优化调度比全天均匀制氢每天多获得约 18.38 万元增量效益。</x:v>
      </x:c>
      <x:c r="D2" s="10" t="str">
        <x:v>一句话结论：系统在低电价时多制氢、给电池充电，在高电价时少制氢并优先卖电。示例情景下，优化调度比全天均匀制氢每天多获得约 18.38 万元增量效益。</x:v>
      </x:c>
      <x:c r="E2" s="10" t="str">
        <x:v>一句话结论：系统在低电价时多制氢、给电池充电，在高电价时少制氢并优先卖电。示例情景下，优化调度比全天均匀制氢每天多获得约 18.38 万元增量效益。</x:v>
      </x:c>
      <x:c r="F2" s="10" t="str">
        <x:v>一句话结论：系统在低电价时多制氢、给电池充电，在高电价时少制氢并优先卖电。示例情景下，优化调度比全天均匀制氢每天多获得约 18.38 万元增量效益。</x:v>
      </x:c>
      <x:c r="G2" s="10" t="str">
        <x:v>一句话结论：系统在低电价时多制氢、给电池充电，在高电价时少制氢并优先卖电。示例情景下，优化调度比全天均匀制氢每天多获得约 18.38 万元增量效益。</x:v>
      </x:c>
      <x:c r="H2" s="10" t="str">
        <x:v>一句话结论：系统在低电价时多制氢、给电池充电，在高电价时少制氢并优先卖电。示例情景下，优化调度比全天均匀制氢每天多获得约 18.38 万元增量效益。</x:v>
      </x:c>
      <x:c r="I2" s="10" t="str">
        <x:v>一句话结论：系统在低电价时多制氢、给电池充电，在高电价时少制氢并优先卖电。示例情景下，优化调度比全天均匀制氢每天多获得约 18.38 万元增量效益。</x:v>
      </x:c>
      <x:c r="J2" s="10" t="str">
        <x:v>一句话结论：系统在低电价时多制氢、给电池充电，在高电价时少制氢并优先卖电。示例情景下，优化调度比全天均匀制氢每天多获得约 18.38 万元增量效益。</x:v>
      </x:c>
      <x:c r="K2" s="10" t="str">
        <x:v>一句话结论：系统在低电价时多制氢、给电池充电，在高电价时少制氢并优先卖电。示例情景下，优化调度比全天均匀制氢每天多获得约 18.38 万元增量效益。</x:v>
      </x:c>
      <x:c r="L2" s="10" t="str">
        <x:v>一句话结论：系统在低电价时多制氢、给电池充电，在高电价时少制氢并优先卖电。示例情景下，优化调度比全天均匀制氢每天多获得约 18.38 万元增量效益。</x:v>
      </x:c>
      <x:c r="M2" s="10" t="str">
        <x:v>一句话结论：系统在低电价时多制氢、给电池充电，在高电价时少制氢并优先卖电。示例情景下，优化调度比全天均匀制氢每天多获得约 18.38 万元增量效益。</x:v>
      </x:c>
      <x:c r="N2" s="10" t="str">
        <x:v>一句话结论：系统在低电价时多制氢、给电池充电，在高电价时少制氢并优先卖电。示例情景下，优化调度比全天均匀制氢每天多获得约 18.38 万元增量效益。</x:v>
      </x:c>
      <x:c r="O2" s="10" t="str">
        <x:v>一句话结论：系统在低电价时多制氢、给电池充电，在高电价时少制氢并优先卖电。示例情景下，优化调度比全天均匀制氢每天多获得约 18.38 万元增量效益。</x:v>
      </x:c>
      <x:c r="P2" s="10" t="str">
        <x:v>一句话结论：系统在低电价时多制氢、给电池充电，在高电价时少制氢并优先卖电。示例情景下，优化调度比全天均匀制氢每天多获得约 18.38 万元增量效益。</x:v>
      </x:c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</x:row>
    <x:row r="4" ht="24" customHeight="1">
      <x:c r="A4" s="52" t="str">
        <x:v>日制氢量</x:v>
      </x:c>
      <x:c r="B4" s="52" t="str"/>
      <x:c r="C4" s="52" t="str">
        <x:v>最优日增量效益</x:v>
      </x:c>
      <x:c r="D4" s="52" t="str"/>
      <x:c r="E4" s="52" t="str">
        <x:v>比均匀制氢多赚</x:v>
      </x:c>
      <x:c r="F4" s="52" t="str"/>
      <x:c r="G4" s="52" t="str">
        <x:v>年制氢量</x:v>
      </x:c>
      <x:c r="H4" s="52" t="str"/>
      <x:c r="I4" s="68"/>
      <x:c r="J4" s="68"/>
      <x:c r="K4" s="68"/>
      <x:c r="L4" s="68"/>
      <x:c r="M4" s="68"/>
      <x:c r="N4" s="68"/>
      <x:c r="O4" s="68"/>
      <x:c r="P4" s="68"/>
    </x:row>
    <x:row r="5" ht="32" customHeight="1">
      <x:c r="A5" s="59" t="n">
        <x:f>SUM('3_最优分配'!H5:H10)/1000</x:f>
        <x:v>24</x:v>
      </x:c>
      <x:c r="B5" s="58"/>
      <x:c r="C5" s="60" t="n">
        <x:f>'4_收益与成本'!B12</x:f>
        <x:v>51.86681305263161</x:v>
      </x:c>
      <x:c r="D5" s="58"/>
      <x:c r="E5" s="60" t="n">
        <x:f>'4_收益与成本'!I20-'4_收益与成本'!I19</x:f>
        <x:v>18.37614160000004</x:v>
      </x:c>
      <x:c r="F5" s="58"/>
      <x:c r="G5" s="61" t="n">
        <x:f>'4_收益与成本'!G6</x:f>
        <x:v>7.92</x:v>
      </x:c>
      <x:c r="H5" s="58"/>
      <x:c r="I5" s="68"/>
      <x:c r="J5" s="68"/>
      <x:c r="K5" s="68"/>
      <x:c r="L5" s="68"/>
      <x:c r="M5" s="68"/>
      <x:c r="N5" s="68"/>
      <x:c r="O5" s="68"/>
      <x:c r="P5" s="68"/>
    </x:row>
    <x:row r="6" ht="32" customHeight="1">
      <x:c r="A6" s="58"/>
      <x:c r="B6" s="58"/>
      <x:c r="C6" s="58"/>
      <x:c r="D6" s="58"/>
      <x:c r="E6" s="58"/>
      <x:c r="F6" s="58"/>
      <x:c r="G6" s="58"/>
      <x:c r="H6" s="58"/>
      <x:c r="I6" s="68"/>
      <x:c r="J6" s="68"/>
      <x:c r="K6" s="68"/>
      <x:c r="L6" s="68"/>
      <x:c r="M6" s="68"/>
      <x:c r="N6" s="68"/>
      <x:c r="O6" s="68"/>
      <x:c r="P6" s="68"/>
    </x:row>
    <x:row r="7">
      <x:c r="A7" s="68"/>
      <x:c r="B7" s="68"/>
      <x:c r="C7" s="68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</x:row>
    <x:row r="8" ht="24" customHeight="1">
      <x:c r="A8" s="52" t="str">
        <x:v>年净现金流</x:v>
      </x:c>
      <x:c r="B8" s="52" t="str"/>
      <x:c r="C8" s="52" t="str">
        <x:v>LCOH</x:v>
      </x:c>
      <x:c r="D8" s="52" t="str"/>
      <x:c r="E8" s="52" t="str">
        <x:v>NPV</x:v>
      </x:c>
      <x:c r="F8" s="52" t="str"/>
      <x:c r="G8" s="52" t="str">
        <x:v>IRR / 回收期</x:v>
      </x:c>
      <x:c r="H8" s="52" t="str"/>
      <x:c r="I8" s="68"/>
      <x:c r="J8" s="68"/>
      <x:c r="K8" s="68"/>
      <x:c r="L8" s="68"/>
      <x:c r="M8" s="68"/>
      <x:c r="N8" s="68"/>
      <x:c r="O8" s="68"/>
      <x:c r="P8" s="68"/>
    </x:row>
    <x:row r="9" ht="32" customHeight="1">
      <x:c r="A9" s="62" t="n">
        <x:f>'4_收益与成本'!G7</x:f>
        <x:v>154.91048307368433</x:v>
      </x:c>
      <x:c r="B9" s="58"/>
      <x:c r="C9" s="63" t="n">
        <x:f>'4_收益与成本'!G11</x:f>
        <x:v>20.003616833669827</x:v>
      </x:c>
      <x:c r="D9" s="58"/>
      <x:c r="E9" s="64" t="n">
        <x:f>'4_收益与成本'!G8</x:f>
        <x:v>777.3160306695245</x:v>
      </x:c>
      <x:c r="F9" s="58"/>
      <x:c r="G9" s="65" t="str">
        <x:f>ROUND('4_收益与成本'!G9*100,1)&amp;"% / "&amp;ROUND('4_收益与成本'!G10,2)&amp;" 年"</x:f>
        <x:v>22.5% / 4.2 年</x:v>
      </x:c>
      <x:c r="H9" s="58"/>
      <x:c r="I9" s="68"/>
      <x:c r="J9" s="68"/>
      <x:c r="K9" s="68"/>
      <x:c r="L9" s="68"/>
      <x:c r="M9" s="68"/>
      <x:c r="N9" s="68"/>
      <x:c r="O9" s="68"/>
      <x:c r="P9" s="68"/>
    </x:row>
    <x:row r="10" ht="32" customHeight="1">
      <x:c r="A10" s="58"/>
      <x:c r="B10" s="58"/>
      <x:c r="C10" s="58"/>
      <x:c r="D10" s="58"/>
      <x:c r="E10" s="58"/>
      <x:c r="F10" s="58"/>
      <x:c r="G10" s="58"/>
      <x:c r="H10" s="58"/>
      <x:c r="I10" s="68"/>
      <x:c r="J10" s="68"/>
      <x:c r="K10" s="68"/>
      <x:c r="L10" s="68"/>
      <x:c r="M10" s="68"/>
      <x:c r="N10" s="68"/>
      <x:c r="O10" s="68"/>
      <x:c r="P10" s="68"/>
    </x:row>
    <x:row r="11">
      <x:c r="A11" s="68"/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</x:row>
    <x:row r="12">
      <x:c r="A12" s="68"/>
      <x:c r="B12" s="68"/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</x:row>
    <x:row r="13" ht="24" customHeight="1">
      <x:c r="A13" s="14" t="str">
        <x:v>这个模型在解决什么问题</x:v>
      </x:c>
      <x:c r="B13" s="14" t="str">
        <x:v>这个模型在解决什么问题</x:v>
      </x:c>
      <x:c r="C13" s="14" t="str">
        <x:v>这个模型在解决什么问题</x:v>
      </x:c>
      <x:c r="D13" s="14" t="str">
        <x:v>这个模型在解决什么问题</x:v>
      </x:c>
      <x:c r="E13" s="14" t="str">
        <x:v>这个模型在解决什么问题</x:v>
      </x:c>
      <x:c r="F13" s="14" t="str">
        <x:v>这个模型在解决什么问题</x:v>
      </x:c>
      <x:c r="G13" s="14" t="str">
        <x:v>这个模型在解决什么问题</x:v>
      </x:c>
      <x:c r="H13" s="14" t="str">
        <x:v>这个模型在解决什么问题</x:v>
      </x:c>
      <x:c r="I13" s="68"/>
      <x:c r="J13" s="68"/>
      <x:c r="K13" s="68"/>
      <x:c r="L13" s="68"/>
      <x:c r="M13" s="68"/>
      <x:c r="N13" s="68"/>
      <x:c r="O13" s="68"/>
      <x:c r="P13" s="68"/>
    </x:row>
    <x:row r="14" ht="28" customHeight="1">
      <x:c r="A14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B14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C14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D14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E14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F14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G14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H14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I14" s="68"/>
      <x:c r="J14" s="68"/>
      <x:c r="K14" s="68"/>
      <x:c r="L14" s="68"/>
      <x:c r="M14" s="68"/>
      <x:c r="N14" s="68"/>
      <x:c r="O14" s="68"/>
      <x:c r="P14" s="68"/>
    </x:row>
    <x:row r="15" ht="28" customHeight="1">
      <x:c r="A15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B15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C15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D15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E15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F15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G15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H15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I15" s="68"/>
      <x:c r="J15" s="68"/>
      <x:c r="K15" s="68"/>
      <x:c r="L15" s="68"/>
      <x:c r="M15" s="68"/>
      <x:c r="N15" s="68"/>
      <x:c r="O15" s="68"/>
      <x:c r="P15" s="68"/>
    </x:row>
    <x:row r="16" ht="28" customHeight="1">
      <x:c r="A16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B16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C16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D16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E16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F16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G16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H16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I16" s="68"/>
      <x:c r="J16" s="68"/>
      <x:c r="K16" s="68"/>
      <x:c r="L16" s="68"/>
      <x:c r="M16" s="68"/>
      <x:c r="N16" s="68"/>
      <x:c r="O16" s="68"/>
      <x:c r="P16" s="68"/>
    </x:row>
    <x:row r="17" ht="28" customHeight="1">
      <x:c r="A17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B17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C17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D17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E17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F17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G17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H17" s="10" t="str">
        <x:v>新能源发电量和电价每小时都在变化：电可以直接卖，也可以拿去制氢，还可以暂时存进 BESS（电池储能系统）。模型把“制氢、卖电、充电、放电”放在同一个优化问题里，在满足供氢和设备约束的前提下，让一天的总收益最大。核心判断很朴素：当前这度电拿去制氢的价值，是否高于现在卖电或留到高价时再卖的价值。</x:v>
      </x:c>
      <x:c r="I17" s="68"/>
      <x:c r="J17" s="68"/>
      <x:c r="K17" s="68"/>
      <x:c r="L17" s="68"/>
      <x:c r="M17" s="68"/>
      <x:c r="N17" s="68"/>
      <x:c r="O17" s="68"/>
      <x:c r="P17" s="68"/>
    </x:row>
    <x:row r="18">
      <x:c r="A18" s="68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</x:row>
    <x:row r="19" ht="24" customHeight="1">
      <x:c r="A19" s="14" t="str">
        <x:v>按什么顺序看</x:v>
      </x:c>
      <x:c r="B19" s="14" t="str">
        <x:v>按什么顺序看</x:v>
      </x:c>
      <x:c r="C19" s="14" t="str">
        <x:v>按什么顺序看</x:v>
      </x:c>
      <x:c r="D19" s="14" t="str">
        <x:v>按什么顺序看</x:v>
      </x:c>
      <x:c r="E19" s="14" t="str">
        <x:v>按什么顺序看</x:v>
      </x:c>
      <x:c r="F19" s="14" t="str">
        <x:v>按什么顺序看</x:v>
      </x:c>
      <x:c r="G19" s="14" t="str">
        <x:v>按什么顺序看</x:v>
      </x:c>
      <x:c r="H19" s="14" t="str">
        <x:v>按什么顺序看</x:v>
      </x:c>
      <x:c r="I19" s="68"/>
      <x:c r="J19" s="68"/>
      <x:c r="K19" s="68"/>
      <x:c r="L19" s="68"/>
      <x:c r="M19" s="68"/>
      <x:c r="N19" s="68"/>
      <x:c r="O19" s="68"/>
      <x:c r="P19" s="68"/>
    </x:row>
    <x:row r="20" ht="29" customHeight="1">
      <x:c r="A20" s="52" t="str">
        <x:v>1</x:v>
      </x:c>
      <x:c r="B20" s="19" t="str">
        <x:v>先看本页</x:v>
      </x:c>
      <x:c r="C20" s="19" t="str"/>
      <x:c r="D20" s="19" t="str">
        <x:v>先记住结论、关键收益和回收能力</x:v>
      </x:c>
      <x:c r="E20" s="19" t="str"/>
      <x:c r="F20" s="19" t="str"/>
      <x:c r="G20" s="19" t="str"/>
      <x:c r="H20" s="19" t="str"/>
      <x:c r="I20" s="68"/>
      <x:c r="J20" s="68"/>
      <x:c r="K20" s="68"/>
      <x:c r="L20" s="68"/>
      <x:c r="M20" s="68"/>
      <x:c r="N20" s="68"/>
      <x:c r="O20" s="68"/>
      <x:c r="P20" s="68"/>
    </x:row>
    <x:row r="21" ht="29" customHeight="1">
      <x:c r="A21" s="52" t="str">
        <x:v>2</x:v>
      </x:c>
      <x:c r="B21" s="19" t="str">
        <x:v>再看“2_输入参数”</x:v>
      </x:c>
      <x:c r="C21" s="19" t="str"/>
      <x:c r="D21" s="19" t="str">
        <x:v>黄色可修改；灰色是 MATLAB 结果</x:v>
      </x:c>
      <x:c r="E21" s="19" t="str"/>
      <x:c r="F21" s="19" t="str"/>
      <x:c r="G21" s="19" t="str"/>
      <x:c r="H21" s="19" t="str"/>
      <x:c r="I21" s="68"/>
      <x:c r="J21" s="68"/>
      <x:c r="K21" s="68"/>
      <x:c r="L21" s="68"/>
      <x:c r="M21" s="68"/>
      <x:c r="N21" s="68"/>
      <x:c r="O21" s="68"/>
      <x:c r="P21" s="68"/>
    </x:row>
    <x:row r="22" ht="29" customHeight="1">
      <x:c r="A22" s="52" t="str">
        <x:v>3</x:v>
      </x:c>
      <x:c r="B22" s="19" t="str">
        <x:v>看“3_最优分配”</x:v>
      </x:c>
      <x:c r="C22" s="19" t="str"/>
      <x:c r="D22" s="19" t="str">
        <x:v>了解每个时段为什么制氢、卖电或充放电</x:v>
      </x:c>
      <x:c r="E22" s="19" t="str"/>
      <x:c r="F22" s="19" t="str"/>
      <x:c r="G22" s="19" t="str"/>
      <x:c r="H22" s="19" t="str"/>
      <x:c r="I22" s="68"/>
      <x:c r="J22" s="68"/>
      <x:c r="K22" s="68"/>
      <x:c r="L22" s="68"/>
      <x:c r="M22" s="68"/>
      <x:c r="N22" s="68"/>
      <x:c r="O22" s="68"/>
      <x:c r="P22" s="68"/>
    </x:row>
    <x:row r="23" ht="29" customHeight="1">
      <x:c r="A23" s="52" t="str">
        <x:v>4</x:v>
      </x:c>
      <x:c r="B23" s="19" t="str">
        <x:v>最后看收益和敏感性</x:v>
      </x:c>
      <x:c r="C23" s="19" t="str"/>
      <x:c r="D23" s="19" t="str">
        <x:v>判断氢价、投资和运行天数是否足以支撑盈利</x:v>
      </x:c>
      <x:c r="E23" s="19" t="str"/>
      <x:c r="F23" s="19" t="str"/>
      <x:c r="G23" s="19" t="str"/>
      <x:c r="H23" s="19" t="str"/>
      <x:c r="I23" s="68"/>
      <x:c r="J23" s="68"/>
      <x:c r="K23" s="68"/>
      <x:c r="L23" s="68"/>
      <x:c r="M23" s="68"/>
      <x:c r="N23" s="68"/>
      <x:c r="O23" s="68"/>
      <x:c r="P23" s="68"/>
    </x:row>
    <x:row r="24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</x:row>
    <x:row r="25" ht="24" customHeight="1">
      <x:c r="A25" s="14" t="str">
        <x:v>模型检查</x:v>
      </x:c>
      <x:c r="B25" s="14" t="str">
        <x:v>模型检查</x:v>
      </x:c>
      <x:c r="C25" s="14" t="str">
        <x:v>模型检查</x:v>
      </x:c>
      <x:c r="D25" s="14" t="str">
        <x:v>模型检查</x:v>
      </x:c>
      <x:c r="E25" s="14" t="str">
        <x:v>模型检查</x:v>
      </x:c>
      <x:c r="F25" s="14" t="str">
        <x:v>模型检查</x:v>
      </x:c>
      <x:c r="G25" s="14" t="str">
        <x:v>模型检查</x:v>
      </x:c>
      <x:c r="H25" s="14" t="str">
        <x:v>模型检查</x:v>
      </x:c>
      <x:c r="I25" s="68"/>
      <x:c r="J25" s="68"/>
      <x:c r="K25" s="68"/>
      <x:c r="L25" s="68"/>
      <x:c r="M25" s="68"/>
      <x:c r="N25" s="68"/>
      <x:c r="O25" s="68"/>
      <x:c r="P25" s="68"/>
    </x:row>
    <x:row r="26" ht="28" customHeight="1">
      <x:c r="A26" s="23" t="str">
        <x:v>检查项</x:v>
      </x:c>
      <x:c r="B26" s="23" t="str">
        <x:v>实际值</x:v>
      </x:c>
      <x:c r="C26" s="23" t="str">
        <x:v>允许范围/期望</x:v>
      </x:c>
      <x:c r="D26" s="23" t="str">
        <x:v>状态</x:v>
      </x:c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</x:row>
    <x:row r="27" ht="27" customHeight="1">
      <x:c r="A27" s="19" t="str">
        <x:v>功率平衡最大残差</x:v>
      </x:c>
      <x:c r="B27" s="19" t="n">
        <x:v>1.7053025658242404e-13</x:v>
      </x:c>
      <x:c r="C27" s="19" t="str">
        <x:v>&lt; 0.000001 MW</x:v>
      </x:c>
      <x:c r="D27" s="45" t="str">
        <x:f>IF(ABS(B27)&lt;0.000001,"OK","检查")</x:f>
        <x:v>OK</x:v>
      </x:c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</x:row>
    <x:row r="28" ht="27" customHeight="1">
      <x:c r="A28" s="19" t="str">
        <x:v>期末储氢误差</x:v>
      </x:c>
      <x:c r="B28" s="19" t="n">
        <x:v>0</x:v>
      </x:c>
      <x:c r="C28" s="19" t="str">
        <x:v>应为 0 kg</x:v>
      </x:c>
      <x:c r="D28" s="45" t="str">
        <x:f>IF(ABS(B28)&lt;0.001,"OK","检查")</x:f>
        <x:v>OK</x:v>
      </x:c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</x:row>
    <x:row r="29" ht="27" customHeight="1">
      <x:c r="A29" s="19" t="str">
        <x:v>投资分项合计与总投资</x:v>
      </x:c>
      <x:c r="B29" s="19" t="n">
        <x:f>SUM('2_输入参数'!B29:B32)-'2_输入参数'!B28</x:f>
        <x:v>0</x:v>
      </x:c>
      <x:c r="C29" s="19" t="str">
        <x:v>差额 = 0</x:v>
      </x:c>
      <x:c r="D29" s="45" t="str">
        <x:f>IF(ABS(B29)&lt;0.001,"OK","检查")</x:f>
        <x:v>OK</x:v>
      </x:c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</x:row>
    <x:row r="30" ht="27" customHeight="1">
      <x:c r="A30" s="19" t="str">
        <x:v>优化求解状态</x:v>
      </x:c>
      <x:c r="B30" s="19" t="n">
        <x:v>1</x:v>
      </x:c>
      <x:c r="C30" s="19" t="str">
        <x:v>1 = 成功</x:v>
      </x:c>
      <x:c r="D30" s="45" t="str">
        <x:f>IF(B30=1,"OK","检查")</x:f>
        <x:v>OK</x:v>
      </x:c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</x:row>
    <x:row r="32" ht="28" customHeight="1">
      <x:c r="A32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B32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C32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D32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E32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F32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G32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H32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I32" s="68"/>
      <x:c r="J32" s="68"/>
      <x:c r="K32" s="68"/>
      <x:c r="L32" s="68"/>
      <x:c r="M32" s="68"/>
      <x:c r="N32" s="68"/>
      <x:c r="O32" s="68"/>
      <x:c r="P32" s="68"/>
    </x:row>
    <x:row r="33" ht="28" customHeight="1">
      <x:c r="A33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B33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C33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D33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E33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F33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G33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H33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I33" s="68"/>
      <x:c r="J33" s="68"/>
      <x:c r="K33" s="68"/>
      <x:c r="L33" s="68"/>
      <x:c r="M33" s="68"/>
      <x:c r="N33" s="68"/>
      <x:c r="O33" s="68"/>
      <x:c r="P33" s="68"/>
    </x:row>
    <x:row r="34" ht="28" customHeight="1">
      <x:c r="A34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B34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C34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D34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E34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F34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G34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H34" s="10" t="str">
        <x:v>重要说明：本工作簿用于挑战杯方案论证和公式演示，设备价格、电价、氢价及运行天数均为示例情景。改变运行参数后，应重新运行 MATLAB 优化，再把新调度结果导入本表；本测算不构成投资承诺。</x:v>
      </x:c>
      <x:c r="I34" s="23" t="str">
        <x:v>策略</x:v>
      </x:c>
      <x:c r="J34" s="23" t="str">
        <x:v>日增量效益（万元）</x:v>
      </x:c>
      <x:c r="K34" s="68"/>
      <x:c r="L34" s="68"/>
      <x:c r="M34" s="68"/>
      <x:c r="N34" s="68"/>
      <x:c r="O34" s="68"/>
      <x:c r="P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33" t="str">
        <x:v>不制氢</x:v>
      </x:c>
      <x:c r="J35" s="33" t="n">
        <x:v>0</x:v>
      </x:c>
      <x:c r="K35" s="68"/>
      <x:c r="L35" s="68"/>
      <x:c r="M35" s="68"/>
      <x:c r="N35" s="68"/>
      <x:c r="O35" s="68"/>
      <x:c r="P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33" t="str">
        <x:v>均匀制氢</x:v>
      </x:c>
      <x:c r="J36" s="33" t="n">
        <x:f>'4_收益与成本'!I19</x:f>
        <x:v>33.490671452631574</x:v>
      </x:c>
      <x:c r="K36" s="68"/>
      <x:c r="L36" s="68"/>
      <x:c r="M36" s="68"/>
      <x:c r="N36" s="68"/>
      <x:c r="O36" s="68"/>
      <x:c r="P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33" t="str">
        <x:v>优化调度</x:v>
      </x:c>
      <x:c r="J37" s="33" t="n">
        <x:f>'4_收益与成本'!I20</x:f>
        <x:v>51.86681305263161</x:v>
      </x:c>
      <x:c r="K37" s="68"/>
      <x:c r="L37" s="68"/>
      <x:c r="M37" s="68"/>
      <x:c r="N37" s="68"/>
      <x:c r="O37" s="68"/>
      <x:c r="P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</x:row>
    <x:row r="39" ht="28" customHeight="1">
      <x:c r="A39" s="68"/>
      <x:c r="B39" s="68"/>
      <x:c r="C39" s="68"/>
      <x:c r="D39" s="68"/>
      <x:c r="E39" s="68"/>
      <x:c r="F39" s="68"/>
      <x:c r="G39" s="68"/>
      <x:c r="H39" s="68"/>
      <x:c r="I39" s="23" t="str">
        <x:v>指标</x:v>
      </x:c>
      <x:c r="J39" s="23" t="str">
        <x:v>金额（百万元）</x:v>
      </x:c>
      <x:c r="K39" s="68"/>
      <x:c r="L39" s="68"/>
      <x:c r="M39" s="68"/>
      <x:c r="N39" s="68"/>
      <x:c r="O39" s="68"/>
      <x:c r="P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33" t="str">
        <x:v>初始投资</x:v>
      </x:c>
      <x:c r="J40" s="33" t="n">
        <x:f>'4_收益与成本'!G13</x:f>
        <x:v>650</x:v>
      </x:c>
      <x:c r="K40" s="68"/>
      <x:c r="L40" s="68"/>
      <x:c r="M40" s="68"/>
      <x:c r="N40" s="68"/>
      <x:c r="O40" s="68"/>
      <x:c r="P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33" t="str">
        <x:v>年净现金流</x:v>
      </x:c>
      <x:c r="J41" s="33" t="n">
        <x:f>'4_收益与成本'!G7</x:f>
        <x:v>154.91048307368433</x:v>
      </x:c>
      <x:c r="K41" s="68"/>
      <x:c r="L41" s="68"/>
      <x:c r="M41" s="68"/>
      <x:c r="N41" s="68"/>
      <x:c r="O41" s="68"/>
      <x:c r="P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33" t="str">
        <x:v>NPV</x:v>
      </x:c>
      <x:c r="J42" s="33" t="n">
        <x:f>'4_收益与成本'!G8</x:f>
        <x:v>777.3160306695245</x:v>
      </x:c>
      <x:c r="K42" s="68"/>
      <x:c r="L42" s="68"/>
      <x:c r="M42" s="68"/>
      <x:c r="N42" s="68"/>
      <x:c r="O42" s="68"/>
      <x:c r="P42" s="68"/>
    </x:row>
  </x:sheetData>
  <x:mergeCells>
    <x:mergeCell ref="A1:P1"/>
    <x:mergeCell ref="A2:P2"/>
    <x:mergeCell ref="A4:B4"/>
    <x:mergeCell ref="C4:D4"/>
    <x:mergeCell ref="E4:F4"/>
    <x:mergeCell ref="G4:H4"/>
    <x:mergeCell ref="A5:B6"/>
    <x:mergeCell ref="C5:D6"/>
    <x:mergeCell ref="E5:F6"/>
    <x:mergeCell ref="G5:H6"/>
    <x:mergeCell ref="A8:B8"/>
    <x:mergeCell ref="C8:D8"/>
    <x:mergeCell ref="E8:F8"/>
    <x:mergeCell ref="G8:H8"/>
    <x:mergeCell ref="A9:B10"/>
    <x:mergeCell ref="C9:D10"/>
    <x:mergeCell ref="E9:F10"/>
    <x:mergeCell ref="G9:H10"/>
    <x:mergeCell ref="A13:H13"/>
    <x:mergeCell ref="A14:H17"/>
    <x:mergeCell ref="A19:H19"/>
    <x:mergeCell ref="B20:C20"/>
    <x:mergeCell ref="D20:H20"/>
    <x:mergeCell ref="B21:C21"/>
    <x:mergeCell ref="D21:H21"/>
    <x:mergeCell ref="B22:C22"/>
    <x:mergeCell ref="D22:H22"/>
    <x:mergeCell ref="B23:C23"/>
    <x:mergeCell ref="D23:H23"/>
    <x:mergeCell ref="A25:H25"/>
    <x:mergeCell ref="A32:H34"/>
  </x:mergeCells>
  <x:pageMargins left="0.7" right="0.7" top="0.75" bottom="0.75" header="0.3" footer="0.3"/>
  <x:drawing xmlns:r="http://schemas.openxmlformats.org/officeDocument/2006/relationships" r:id="R24a13e2e717e4d1f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31" hidden="0" customWidth="1"/>
    <x:col min="5" max="5" width="14" hidden="0" customWidth="1"/>
    <x:col min="6" max="6" width="40" hidden="0" customWidth="1"/>
    <x:col min="7" max="7" width="20" hidden="0" customWidth="1"/>
  </x:cols>
  <x:sheetData>
    <x:row r="1" ht="32" customHeight="1">
      <x:c r="A1" s="5" t="str">
        <x:v>电能制氢模型｜输入参数</x:v>
      </x:c>
      <x:c r="B1" s="5" t="str">
        <x:v>电能制氢模型｜输入参数</x:v>
      </x:c>
      <x:c r="C1" s="5" t="str">
        <x:v>电能制氢模型｜输入参数</x:v>
      </x:c>
      <x:c r="D1" s="5" t="str">
        <x:v>电能制氢模型｜输入参数</x:v>
      </x:c>
      <x:c r="E1" s="5" t="str">
        <x:v>电能制氢模型｜输入参数</x:v>
      </x:c>
      <x:c r="F1" s="5" t="str">
        <x:v>电能制氢模型｜输入参数</x:v>
      </x:c>
      <x:c r="G1" s="5" t="str">
        <x:v>电能制氢模型｜输入参数</x:v>
      </x:c>
    </x:row>
    <x:row r="2" ht="28" customHeight="1">
      <x:c r="A2" s="10" t="str">
        <x:v>黄色单元格可以修改；灰色单元格是 MATLAB 已求得的结果。只改经济参数时，收益会自动更新；改设备、负荷或运行参数后，必须重新运行 MATLAB 才能得到新的最优分配。</x:v>
      </x:c>
      <x:c r="B2" s="10" t="str">
        <x:v>黄色单元格可以修改；灰色单元格是 MATLAB 已求得的结果。只改经济参数时，收益会自动更新；改设备、负荷或运行参数后，必须重新运行 MATLAB 才能得到新的最优分配。</x:v>
      </x:c>
      <x:c r="C2" s="10" t="str">
        <x:v>黄色单元格可以修改；灰色单元格是 MATLAB 已求得的结果。只改经济参数时，收益会自动更新；改设备、负荷或运行参数后，必须重新运行 MATLAB 才能得到新的最优分配。</x:v>
      </x:c>
      <x:c r="D2" s="10" t="str">
        <x:v>黄色单元格可以修改；灰色单元格是 MATLAB 已求得的结果。只改经济参数时，收益会自动更新；改设备、负荷或运行参数后，必须重新运行 MATLAB 才能得到新的最优分配。</x:v>
      </x:c>
      <x:c r="E2" s="10" t="str">
        <x:v>黄色单元格可以修改；灰色单元格是 MATLAB 已求得的结果。只改经济参数时，收益会自动更新；改设备、负荷或运行参数后，必须重新运行 MATLAB 才能得到新的最优分配。</x:v>
      </x:c>
      <x:c r="F2" s="10" t="str">
        <x:v>黄色单元格可以修改；灰色单元格是 MATLAB 已求得的结果。只改经济参数时，收益会自动更新；改设备、负荷或运行参数后，必须重新运行 MATLAB 才能得到新的最优分配。</x:v>
      </x:c>
      <x:c r="G2" s="10" t="str">
        <x:v>黄色单元格可以修改；灰色单元格是 MATLAB 已求得的结果。只改经济参数时，收益会自动更新；改设备、负荷或运行参数后，必须重新运行 MATLAB 才能得到新的最优分配。</x:v>
      </x:c>
    </x:row>
    <x:row r="3">
      <x:c r="A3" s="68"/>
      <x:c r="B3" s="68"/>
      <x:c r="C3" s="68"/>
      <x:c r="D3" s="68"/>
      <x:c r="E3" s="68"/>
      <x:c r="F3" s="68"/>
      <x:c r="G3" s="68"/>
    </x:row>
    <x:row r="4" ht="24" customHeight="1">
      <x:c r="A4" s="14" t="str">
        <x:v>运行与市场参数</x:v>
      </x:c>
      <x:c r="B4" s="14" t="str">
        <x:v>运行与市场参数</x:v>
      </x:c>
      <x:c r="C4" s="14" t="str">
        <x:v>运行与市场参数</x:v>
      </x:c>
      <x:c r="D4" s="14" t="str">
        <x:v>运行与市场参数</x:v>
      </x:c>
      <x:c r="E4" s="14" t="str">
        <x:v>运行与市场参数</x:v>
      </x:c>
      <x:c r="F4" s="14" t="str">
        <x:v>运行与市场参数</x:v>
      </x:c>
      <x:c r="G4" s="14" t="str">
        <x:v>运行与市场参数</x:v>
      </x:c>
    </x:row>
    <x:row r="5" ht="28" customHeight="1">
      <x:c r="A5" s="23" t="str">
        <x:v>参数名称</x:v>
      </x:c>
      <x:c r="B5" s="23" t="str">
        <x:v>数值</x:v>
      </x:c>
      <x:c r="C5" s="23" t="str">
        <x:v>单位</x:v>
      </x:c>
      <x:c r="D5" s="23" t="str">
        <x:v>浅显解释</x:v>
      </x:c>
      <x:c r="E5" s="23" t="str">
        <x:v>数据性质</x:v>
      </x:c>
      <x:c r="F5" s="23" t="str">
        <x:v>修改后怎么办</x:v>
      </x:c>
      <x:c r="G5" s="23" t="str">
        <x:v>来源/依据</x:v>
      </x:c>
    </x:row>
    <x:row r="6" ht="34" customHeight="1">
      <x:c r="A6" s="19" t="str">
        <x:v>氢气销售价格</x:v>
      </x:c>
      <x:c r="B6" s="26" t="n">
        <x:v>30</x:v>
      </x:c>
      <x:c r="C6" s="19" t="str">
        <x:v>元/kg</x:v>
      </x:c>
      <x:c r="D6" s="19" t="str">
        <x:v>每卖出 1 kg 氢气获得的收入</x:v>
      </x:c>
      <x:c r="E6" s="19" t="str">
        <x:v>情景输入</x:v>
      </x:c>
      <x:c r="F6" s="19" t="str">
        <x:v>Excel 会更新经济结果；若要改变最优调度，需重跑 MATLAB</x:v>
      </x:c>
      <x:c r="G6" s="19" t="str">
        <x:v>示例情景假设</x:v>
      </x:c>
    </x:row>
    <x:row r="7" ht="34" customHeight="1">
      <x:c r="A7" s="19" t="str">
        <x:v>电解制氢比能耗</x:v>
      </x:c>
      <x:c r="B7" s="26" t="n">
        <x:v>56.77</x:v>
      </x:c>
      <x:c r="C7" s="19" t="str">
        <x:v>kWh/kg</x:v>
      </x:c>
      <x:c r="D7" s="19" t="str">
        <x:v>生产 1 kg 氢气需要的电量</x:v>
      </x:c>
      <x:c r="E7" s="19" t="str">
        <x:v>技术输入</x:v>
      </x:c>
      <x:c r="F7" s="19" t="str">
        <x:v>必须重跑 MATLAB</x:v>
      </x:c>
      <x:c r="G7" s="19" t="str">
        <x:v>模型设定</x:v>
      </x:c>
    </x:row>
    <x:row r="8" ht="34" customHeight="1">
      <x:c r="A8" s="19" t="str">
        <x:v>氢气单位变动成本</x:v>
      </x:c>
      <x:c r="B8" s="26" t="n">
        <x:v>3.5</x:v>
      </x:c>
      <x:c r="C8" s="19" t="str">
        <x:v>元/kg</x:v>
      </x:c>
      <x:c r="D8" s="19" t="str">
        <x:v>水、耗材等随产量变化的成本</x:v>
      </x:c>
      <x:c r="E8" s="19" t="str">
        <x:v>经济输入</x:v>
      </x:c>
      <x:c r="F8" s="19" t="str">
        <x:v>Excel 自动更新</x:v>
      </x:c>
      <x:c r="G8" s="19" t="str">
        <x:v>示例情景假设</x:v>
      </x:c>
    </x:row>
    <x:row r="9" ht="34" customHeight="1">
      <x:c r="A9" s="19" t="str">
        <x:v>氢气需求</x:v>
      </x:c>
      <x:c r="B9" s="26" t="n">
        <x:v>1000</x:v>
      </x:c>
      <x:c r="C9" s="19" t="str">
        <x:v>kg/h</x:v>
      </x:c>
      <x:c r="D9" s="19" t="str">
        <x:v>每小时必须交付的氢气量</x:v>
      </x:c>
      <x:c r="E9" s="19" t="str">
        <x:v>运行输入</x:v>
      </x:c>
      <x:c r="F9" s="19" t="str">
        <x:v>必须重跑 MATLAB</x:v>
      </x:c>
      <x:c r="G9" s="19" t="str">
        <x:v>示例情景假设</x:v>
      </x:c>
    </x:row>
    <x:row r="10" ht="34" customHeight="1">
      <x:c r="A10" s="19" t="str">
        <x:v>年等效运行天数</x:v>
      </x:c>
      <x:c r="B10" s="31" t="n">
        <x:v>330</x:v>
      </x:c>
      <x:c r="C10" s="19" t="str">
        <x:v>天/年</x:v>
      </x:c>
      <x:c r="D10" s="19" t="str">
        <x:v>一年按多少个典型日计算</x:v>
      </x:c>
      <x:c r="E10" s="19" t="str">
        <x:v>经济输入</x:v>
      </x:c>
      <x:c r="F10" s="19" t="str">
        <x:v>Excel 自动更新</x:v>
      </x:c>
      <x:c r="G10" s="19" t="str">
        <x:v>示例情景假设</x:v>
      </x:c>
    </x:row>
    <x:row r="11" ht="34" customHeight="1">
      <x:c r="A11" s="19" t="str">
        <x:v>厂用电负荷</x:v>
      </x:c>
      <x:c r="B11" s="26" t="n">
        <x:v>50</x:v>
      </x:c>
      <x:c r="C11" s="19" t="str">
        <x:v>MW</x:v>
      </x:c>
      <x:c r="D11" s="19" t="str">
        <x:v>系统自身持续用电</x:v>
      </x:c>
      <x:c r="E11" s="19" t="str">
        <x:v>运行输入</x:v>
      </x:c>
      <x:c r="F11" s="19" t="str">
        <x:v>必须重跑 MATLAB</x:v>
      </x:c>
      <x:c r="G11" s="19" t="str">
        <x:v>模型设定</x:v>
      </x:c>
    </x:row>
    <x:row r="12" ht="34" customHeight="1">
      <x:c r="A12" s="19" t="str">
        <x:v>外送线路上限</x:v>
      </x:c>
      <x:c r="B12" s="26" t="n">
        <x:v>500</x:v>
      </x:c>
      <x:c r="C12" s="19" t="str">
        <x:v>MW</x:v>
      </x:c>
      <x:c r="D12" s="19" t="str">
        <x:v>最多可以向电网卖出的功率</x:v>
      </x:c>
      <x:c r="E12" s="19" t="str">
        <x:v>设备输入</x:v>
      </x:c>
      <x:c r="F12" s="19" t="str">
        <x:v>必须重跑 MATLAB</x:v>
      </x:c>
      <x:c r="G12" s="19" t="str">
        <x:v>模型设定</x:v>
      </x:c>
    </x:row>
    <x:row r="13" ht="34" customHeight="1">
      <x:c r="A13" s="19" t="str">
        <x:v>电解槽最大功率</x:v>
      </x:c>
      <x:c r="B13" s="26" t="n">
        <x:v>100</x:v>
      </x:c>
      <x:c r="C13" s="19" t="str">
        <x:v>MW</x:v>
      </x:c>
      <x:c r="D13" s="19" t="str">
        <x:v>电解槽满负荷功率</x:v>
      </x:c>
      <x:c r="E13" s="19" t="str">
        <x:v>设备输入</x:v>
      </x:c>
      <x:c r="F13" s="19" t="str">
        <x:v>必须重跑 MATLAB</x:v>
      </x:c>
      <x:c r="G13" s="19" t="str">
        <x:v>模型设定</x:v>
      </x:c>
    </x:row>
    <x:row r="14" ht="34" customHeight="1">
      <x:c r="A14" s="19" t="str">
        <x:v>电解槽最小开机功率</x:v>
      </x:c>
      <x:c r="B14" s="26" t="n">
        <x:v>20</x:v>
      </x:c>
      <x:c r="C14" s="19" t="str">
        <x:v>MW</x:v>
      </x:c>
      <x:c r="D14" s="19" t="str">
        <x:v>开机后不能低于该功率</x:v>
      </x:c>
      <x:c r="E14" s="19" t="str">
        <x:v>设备输入</x:v>
      </x:c>
      <x:c r="F14" s="19" t="str">
        <x:v>必须重跑 MATLAB</x:v>
      </x:c>
      <x:c r="G14" s="19" t="str">
        <x:v>模型设定</x:v>
      </x:c>
    </x:row>
    <x:row r="15" ht="34" customHeight="1">
      <x:c r="A15" s="19" t="str">
        <x:v>BESS 容量</x:v>
      </x:c>
      <x:c r="B15" s="26" t="n">
        <x:v>40</x:v>
      </x:c>
      <x:c r="C15" s="19" t="str">
        <x:v>MWh</x:v>
      </x:c>
      <x:c r="D15" s="19" t="str">
        <x:v>BESS 即电池储能系统，可存储的电量</x:v>
      </x:c>
      <x:c r="E15" s="19" t="str">
        <x:v>设备输入</x:v>
      </x:c>
      <x:c r="F15" s="19" t="str">
        <x:v>必须重跑 MATLAB</x:v>
      </x:c>
      <x:c r="G15" s="19" t="str">
        <x:v>模型设定</x:v>
      </x:c>
    </x:row>
    <x:row r="16" ht="34" customHeight="1">
      <x:c r="A16" s="19" t="str">
        <x:v>BESS 充放电功率</x:v>
      </x:c>
      <x:c r="B16" s="26" t="n">
        <x:v>20</x:v>
      </x:c>
      <x:c r="C16" s="19" t="str">
        <x:v>MW</x:v>
      </x:c>
      <x:c r="D16" s="19" t="str">
        <x:v>电池每小时最大充电或放电功率</x:v>
      </x:c>
      <x:c r="E16" s="19" t="str">
        <x:v>设备输入</x:v>
      </x:c>
      <x:c r="F16" s="19" t="str">
        <x:v>必须重跑 MATLAB</x:v>
      </x:c>
      <x:c r="G16" s="19" t="str">
        <x:v>模型设定</x:v>
      </x:c>
    </x:row>
    <x:row r="17" ht="34" customHeight="1">
      <x:c r="A17" s="19" t="str">
        <x:v>BESS 充电效率</x:v>
      </x:c>
      <x:c r="B17" s="30" t="n">
        <x:v>0.95</x:v>
      </x:c>
      <x:c r="C17" s="19" t="str">
        <x:v>—</x:v>
      </x:c>
      <x:c r="D17" s="19" t="str">
        <x:v>充入电池时的能量保留比例</x:v>
      </x:c>
      <x:c r="E17" s="19" t="str">
        <x:v>技术输入</x:v>
      </x:c>
      <x:c r="F17" s="19" t="str">
        <x:v>必须重跑 MATLAB</x:v>
      </x:c>
      <x:c r="G17" s="19" t="str">
        <x:v>模型设定</x:v>
      </x:c>
    </x:row>
    <x:row r="18" ht="34" customHeight="1">
      <x:c r="A18" s="19" t="str">
        <x:v>BESS 放电效率</x:v>
      </x:c>
      <x:c r="B18" s="30" t="n">
        <x:v>0.95</x:v>
      </x:c>
      <x:c r="C18" s="19" t="str">
        <x:v>—</x:v>
      </x:c>
      <x:c r="D18" s="19" t="str">
        <x:v>电池放电时的能量利用比例</x:v>
      </x:c>
      <x:c r="E18" s="19" t="str">
        <x:v>技术输入</x:v>
      </x:c>
      <x:c r="F18" s="19" t="str">
        <x:v>必须重跑 MATLAB</x:v>
      </x:c>
      <x:c r="G18" s="19" t="str">
        <x:v>模型设定</x:v>
      </x:c>
    </x:row>
    <x:row r="19" ht="34" customHeight="1">
      <x:c r="A19" s="19" t="str">
        <x:v>无制氢基准售电收入</x:v>
      </x:c>
      <x:c r="B19" s="29" t="n">
        <x:v>245.6728</x:v>
      </x:c>
      <x:c r="C19" s="19" t="str">
        <x:v>万元/日</x:v>
      </x:c>
      <x:c r="D19" s="19" t="str">
        <x:v>不制氢时一天的售电收入</x:v>
      </x:c>
      <x:c r="E19" s="19" t="str">
        <x:v>MATLAB 结果</x:v>
      </x:c>
      <x:c r="F19" s="19" t="str">
        <x:v>灰色结果；运行参数变化后重新导入</x:v>
      </x:c>
      <x:c r="G19" s="19" t="str">
        <x:v>优化计算结果</x:v>
      </x:c>
    </x:row>
    <x:row r="20" ht="34" customHeight="1">
      <x:c r="A20" s="19" t="str">
        <x:v>最优调度售电收入</x:v>
      </x:c>
      <x:c r="B20" s="29" t="n">
        <x:v>236.11061305263158</x:v>
      </x:c>
      <x:c r="C20" s="19" t="str">
        <x:v>万元/日</x:v>
      </x:c>
      <x:c r="D20" s="19" t="str">
        <x:v>采用最优制氢与储能分配后的售电收入</x:v>
      </x:c>
      <x:c r="E20" s="19" t="str">
        <x:v>MATLAB 结果</x:v>
      </x:c>
      <x:c r="F20" s="19" t="str">
        <x:v>灰色结果；运行参数变化后重新导入</x:v>
      </x:c>
      <x:c r="G20" s="19" t="str">
        <x:v>优化计算结果</x:v>
      </x:c>
    </x:row>
    <x:row r="21" ht="34" customHeight="1">
      <x:c r="A21" s="19" t="str">
        <x:v>均匀制氢售电收入</x:v>
      </x:c>
      <x:c r="B21" s="29" t="n">
        <x:v>217.73447145263157</x:v>
      </x:c>
      <x:c r="C21" s="19" t="str">
        <x:v>万元/日</x:v>
      </x:c>
      <x:c r="D21" s="19" t="str">
        <x:v>全天均匀制氢时的售电收入</x:v>
      </x:c>
      <x:c r="E21" s="19" t="str">
        <x:v>MATLAB 结果</x:v>
      </x:c>
      <x:c r="F21" s="19" t="str">
        <x:v>灰色结果；运行参数变化后重新导入</x:v>
      </x:c>
      <x:c r="G21" s="19" t="str">
        <x:v>对比计算结果</x:v>
      </x:c>
    </x:row>
    <x:row r="22" ht="34" customHeight="1">
      <x:c r="A22" s="19" t="str">
        <x:v>每日启停成本</x:v>
      </x:c>
      <x:c r="B22" s="29" t="n">
        <x:v>2</x:v>
      </x:c>
      <x:c r="C22" s="19" t="str">
        <x:v>万元/日</x:v>
      </x:c>
      <x:c r="D22" s="19" t="str">
        <x:v>当天电解槽启动产生的费用</x:v>
      </x:c>
      <x:c r="E22" s="19" t="str">
        <x:v>模型结果</x:v>
      </x:c>
      <x:c r="F22" s="19" t="str">
        <x:v>运行方式变化后重跑 MATLAB</x:v>
      </x:c>
      <x:c r="G22" s="19" t="str">
        <x:v>优化计算结果</x:v>
      </x:c>
    </x:row>
    <x:row r="23" ht="34" customHeight="1">
      <x:c r="A23" s="19" t="str">
        <x:v>每日 BESS 衰减成本</x:v>
      </x:c>
      <x:c r="B23" s="29" t="n">
        <x:v>0.171</x:v>
      </x:c>
      <x:c r="C23" s="19" t="str">
        <x:v>万元/日</x:v>
      </x:c>
      <x:c r="D23" s="19" t="str">
        <x:v>电池充放电带来的寿命损耗成本</x:v>
      </x:c>
      <x:c r="E23" s="19" t="str">
        <x:v>模型结果</x:v>
      </x:c>
      <x:c r="F23" s="19" t="str">
        <x:v>运行方式变化后重跑 MATLAB</x:v>
      </x:c>
      <x:c r="G23" s="19" t="str">
        <x:v>优化计算结果</x:v>
      </x:c>
    </x:row>
    <x:row r="24" ht="34" customHeight="1">
      <x:c r="A24" s="19" t="str">
        <x:v>每日机会成本</x:v>
      </x:c>
      <x:c r="B24" s="29" t="n">
        <x:v>11.316447999999998</x:v>
      </x:c>
      <x:c r="C24" s="19" t="str">
        <x:v>万元/日</x:v>
      </x:c>
      <x:c r="D24" s="19" t="str">
        <x:v>用于制氢而少卖电造成的收入损失</x:v>
      </x:c>
      <x:c r="E24" s="19" t="str">
        <x:v>模型结果</x:v>
      </x:c>
      <x:c r="F24" s="19" t="str">
        <x:v>运行方式变化后重跑 MATLAB</x:v>
      </x:c>
      <x:c r="G24" s="19" t="str">
        <x:v>优化计算结果</x:v>
      </x:c>
    </x:row>
    <x:row r="25" ht="34" customHeight="1">
      <x:c r="A25" s="19" t="str">
        <x:v>每日 BESS 增值</x:v>
      </x:c>
      <x:c r="B25" s="29" t="n">
        <x:v>1.7542610526315867</x:v>
      </x:c>
      <x:c r="C25" s="19" t="str">
        <x:v>万元/日</x:v>
      </x:c>
      <x:c r="D25" s="19" t="str">
        <x:v>储能通过低价充电、高价放电增加的收益</x:v>
      </x:c>
      <x:c r="E25" s="19" t="str">
        <x:v>模型结果</x:v>
      </x:c>
      <x:c r="F25" s="19" t="str">
        <x:v>运行方式变化后重跑 MATLAB</x:v>
      </x:c>
      <x:c r="G25" s="19" t="str">
        <x:v>优化计算结果</x:v>
      </x:c>
    </x:row>
    <x:row r="26">
      <x:c r="A26" s="68"/>
      <x:c r="B26" s="68"/>
      <x:c r="C26" s="68"/>
      <x:c r="D26" s="68"/>
      <x:c r="E26" s="68"/>
      <x:c r="F26" s="68"/>
      <x:c r="G26" s="68"/>
    </x:row>
    <x:row r="27" ht="24" customHeight="1">
      <x:c r="A27" s="14" t="str">
        <x:v>投资与财务参数</x:v>
      </x:c>
      <x:c r="B27" s="14" t="str">
        <x:v>投资与财务参数</x:v>
      </x:c>
      <x:c r="C27" s="14" t="str">
        <x:v>投资与财务参数</x:v>
      </x:c>
      <x:c r="D27" s="14" t="str">
        <x:v>投资与财务参数</x:v>
      </x:c>
      <x:c r="E27" s="14" t="str">
        <x:v>投资与财务参数</x:v>
      </x:c>
      <x:c r="F27" s="14" t="str">
        <x:v>投资与财务参数</x:v>
      </x:c>
      <x:c r="G27" s="14" t="str">
        <x:v>投资与财务参数</x:v>
      </x:c>
    </x:row>
    <x:row r="28" ht="34" customHeight="1">
      <x:c r="A28" s="19" t="str">
        <x:v>总初始投资</x:v>
      </x:c>
      <x:c r="B28" s="26" t="n">
        <x:v>650</x:v>
      </x:c>
      <x:c r="C28" s="19" t="str">
        <x:v>百万元</x:v>
      </x:c>
      <x:c r="D28" s="19" t="str">
        <x:v>项目建设初始投入</x:v>
      </x:c>
      <x:c r="E28" s="19" t="str">
        <x:v>经济输入</x:v>
      </x:c>
      <x:c r="F28" s="19" t="str">
        <x:v>Excel 自动更新</x:v>
      </x:c>
      <x:c r="G28" s="19" t="str">
        <x:v>示例情景假设</x:v>
      </x:c>
    </x:row>
    <x:row r="29" ht="34" customHeight="1">
      <x:c r="A29" s="19" t="str">
        <x:v>电解槽投资</x:v>
      </x:c>
      <x:c r="B29" s="26" t="n">
        <x:v>450</x:v>
      </x:c>
      <x:c r="C29" s="19" t="str">
        <x:v>百万元</x:v>
      </x:c>
      <x:c r="D29" s="19" t="str">
        <x:v>电解槽设备投资</x:v>
      </x:c>
      <x:c r="E29" s="19" t="str">
        <x:v>经济输入</x:v>
      </x:c>
      <x:c r="F29" s="19" t="str">
        <x:v>Excel 自动更新</x:v>
      </x:c>
      <x:c r="G29" s="19" t="str">
        <x:v>示例情景假设</x:v>
      </x:c>
    </x:row>
    <x:row r="30" ht="34" customHeight="1">
      <x:c r="A30" s="19" t="str">
        <x:v>储氢系统投资</x:v>
      </x:c>
      <x:c r="B30" s="26" t="n">
        <x:v>120</x:v>
      </x:c>
      <x:c r="C30" s="19" t="str">
        <x:v>百万元</x:v>
      </x:c>
      <x:c r="D30" s="19" t="str">
        <x:v>储氢设备投资</x:v>
      </x:c>
      <x:c r="E30" s="19" t="str">
        <x:v>经济输入</x:v>
      </x:c>
      <x:c r="F30" s="19" t="str">
        <x:v>Excel 自动更新</x:v>
      </x:c>
      <x:c r="G30" s="19" t="str">
        <x:v>示例情景假设</x:v>
      </x:c>
    </x:row>
    <x:row r="31" ht="34" customHeight="1">
      <x:c r="A31" s="19" t="str">
        <x:v>BESS 投资</x:v>
      </x:c>
      <x:c r="B31" s="26" t="n">
        <x:v>40</x:v>
      </x:c>
      <x:c r="C31" s="19" t="str">
        <x:v>百万元</x:v>
      </x:c>
      <x:c r="D31" s="19" t="str">
        <x:v>电池储能系统投资</x:v>
      </x:c>
      <x:c r="E31" s="19" t="str">
        <x:v>经济输入</x:v>
      </x:c>
      <x:c r="F31" s="19" t="str">
        <x:v>Excel 自动更新</x:v>
      </x:c>
      <x:c r="G31" s="19" t="str">
        <x:v>示例情景假设</x:v>
      </x:c>
    </x:row>
    <x:row r="32" ht="34" customHeight="1">
      <x:c r="A32" s="19" t="str">
        <x:v>辅助系统投资</x:v>
      </x:c>
      <x:c r="B32" s="26" t="n">
        <x:v>40</x:v>
      </x:c>
      <x:c r="C32" s="19" t="str">
        <x:v>百万元</x:v>
      </x:c>
      <x:c r="D32" s="19" t="str">
        <x:v>供配电、管路和控制系统等</x:v>
      </x:c>
      <x:c r="E32" s="19" t="str">
        <x:v>经济输入</x:v>
      </x:c>
      <x:c r="F32" s="19" t="str">
        <x:v>Excel 自动更新</x:v>
      </x:c>
      <x:c r="G32" s="19" t="str">
        <x:v>示例情景假设</x:v>
      </x:c>
    </x:row>
    <x:row r="33" ht="34" customHeight="1">
      <x:c r="A33" s="19" t="str">
        <x:v>固定运维费率</x:v>
      </x:c>
      <x:c r="B33" s="30" t="n">
        <x:v>0.025</x:v>
      </x:c>
      <x:c r="C33" s="19" t="str">
        <x:v>每年</x:v>
      </x:c>
      <x:c r="D33" s="19" t="str">
        <x:v>每年固定运维费占初始投资的比例</x:v>
      </x:c>
      <x:c r="E33" s="19" t="str">
        <x:v>经济输入</x:v>
      </x:c>
      <x:c r="F33" s="19" t="str">
        <x:v>Excel 自动更新</x:v>
      </x:c>
      <x:c r="G33" s="19" t="str">
        <x:v>示例情景假设</x:v>
      </x:c>
    </x:row>
    <x:row r="34" ht="34" customHeight="1">
      <x:c r="A34" s="19" t="str">
        <x:v>折现率</x:v>
      </x:c>
      <x:c r="B34" s="30" t="n">
        <x:v>0.08</x:v>
      </x:c>
      <x:c r="C34" s="19" t="str">
        <x:v>—</x:v>
      </x:c>
      <x:c r="D34" s="19" t="str">
        <x:v>把未来现金折算到现在使用的利率</x:v>
      </x:c>
      <x:c r="E34" s="19" t="str">
        <x:v>经济输入</x:v>
      </x:c>
      <x:c r="F34" s="19" t="str">
        <x:v>Excel 自动更新</x:v>
      </x:c>
      <x:c r="G34" s="19" t="str">
        <x:v>示例情景假设</x:v>
      </x:c>
    </x:row>
    <x:row r="35" ht="34" customHeight="1">
      <x:c r="A35" s="19" t="str">
        <x:v>项目年限</x:v>
      </x:c>
      <x:c r="B35" s="31" t="n">
        <x:v>20</x:v>
      </x:c>
      <x:c r="C35" s="19" t="str">
        <x:v>年</x:v>
      </x:c>
      <x:c r="D35" s="19" t="str">
        <x:v>项目经济评价期限</x:v>
      </x:c>
      <x:c r="E35" s="19" t="str">
        <x:v>经济输入</x:v>
      </x:c>
      <x:c r="F35" s="19" t="str">
        <x:v>Excel 自动更新</x:v>
      </x:c>
      <x:c r="G35" s="19" t="str">
        <x:v>示例情景假设</x:v>
      </x:c>
    </x:row>
    <x:row r="36" ht="34" customHeight="1">
      <x:c r="A36" s="19" t="str">
        <x:v>单次电堆更换费</x:v>
      </x:c>
      <x:c r="B36" s="26" t="n">
        <x:v>112.5</x:v>
      </x:c>
      <x:c r="C36" s="19" t="str">
        <x:v>百万元</x:v>
      </x:c>
      <x:c r="D36" s="19" t="str">
        <x:v>更换电解槽电堆的一次性支出</x:v>
      </x:c>
      <x:c r="E36" s="19" t="str">
        <x:v>经济输入</x:v>
      </x:c>
      <x:c r="F36" s="19" t="str">
        <x:v>Excel 自动更新</x:v>
      </x:c>
      <x:c r="G36" s="19" t="str">
        <x:v>示例情景假设</x:v>
      </x:c>
    </x:row>
    <x:row r="37" ht="34" customHeight="1">
      <x:c r="A37" s="19" t="str">
        <x:v>第一次更换年份</x:v>
      </x:c>
      <x:c r="B37" s="31" t="n">
        <x:v>8</x:v>
      </x:c>
      <x:c r="C37" s="19" t="str">
        <x:v>年</x:v>
      </x:c>
      <x:c r="D37" s="19" t="str">
        <x:v>第 8 年发生一次更换</x:v>
      </x:c>
      <x:c r="E37" s="19" t="str">
        <x:v>经济输入</x:v>
      </x:c>
      <x:c r="F37" s="19" t="str">
        <x:v>Excel 自动更新</x:v>
      </x:c>
      <x:c r="G37" s="19" t="str">
        <x:v>示例情景假设</x:v>
      </x:c>
    </x:row>
    <x:row r="38" ht="34" customHeight="1">
      <x:c r="A38" s="19" t="str">
        <x:v>第二次更换年份</x:v>
      </x:c>
      <x:c r="B38" s="31" t="n">
        <x:v>16</x:v>
      </x:c>
      <x:c r="C38" s="19" t="str">
        <x:v>年</x:v>
      </x:c>
      <x:c r="D38" s="19" t="str">
        <x:v>第 16 年发生一次更换</x:v>
      </x:c>
      <x:c r="E38" s="19" t="str">
        <x:v>经济输入</x:v>
      </x:c>
      <x:c r="F38" s="19" t="str">
        <x:v>Excel 自动更新</x:v>
      </x:c>
      <x:c r="G38" s="19" t="str">
        <x:v>示例情景假设</x:v>
      </x:c>
    </x:row>
    <x:row r="39" ht="34" customHeight="1">
      <x:c r="A39" s="19" t="str">
        <x:v>结果口径</x:v>
      </x:c>
      <x:c r="B39" s="19" t="str">
        <x:v>示例测算</x:v>
      </x:c>
      <x:c r="C39" s="19" t="str">
        <x:v>—</x:v>
      </x:c>
      <x:c r="D39" s="19" t="str">
        <x:v>用于展示公式和比较策略，不等于投资承诺</x:v>
      </x:c>
      <x:c r="E39" s="19" t="str">
        <x:v>说明</x:v>
      </x:c>
      <x:c r="F39" s="19" t="str">
        <x:v>无需修改</x:v>
      </x:c>
      <x:c r="G39" s="19" t="str">
        <x:v>研究情景说明</x:v>
      </x:c>
    </x:row>
  </x:sheetData>
  <x:mergeCells>
    <x:mergeCell ref="A1:G1"/>
    <x:mergeCell ref="A2:G2"/>
    <x:mergeCell ref="A4:G4"/>
    <x:mergeCell ref="A27:G27"/>
  </x:mergeCells>
  <x:dataValidations count="6">
    <x:dataValidation type="whole" operator="between" sqref="B9">
      <x:formula1>1</x:formula1>
      <x:formula2>100000</x:formula2>
    </x:dataValidation>
    <x:dataValidation type="whole" operator="between" sqref="B10">
      <x:formula1>1</x:formula1>
      <x:formula2>365</x:formula2>
    </x:dataValidation>
    <x:dataValidation type="decimal" operator="between" sqref="B17:B18">
      <x:formula1>0</x:formula1>
      <x:formula2>1</x:formula2>
    </x:dataValidation>
    <x:dataValidation type="decimal" operator="between" sqref="B33:B34">
      <x:formula1>0</x:formula1>
      <x:formula2>1</x:formula2>
    </x:dataValidation>
    <x:dataValidation type="whole" operator="between" sqref="B35">
      <x:formula1>1</x:formula1>
      <x:formula2>50</x:formula2>
    </x:dataValidation>
    <x:dataValidation type="whole" operator="between" sqref="B37:B38">
      <x:formula1>1</x:formula1>
      <x:formula2>50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5" hidden="0" customWidth="1"/>
    <x:col min="9" max="9" width="15" hidden="0" customWidth="1"/>
    <x:col min="10" max="10" width="13" hidden="0" customWidth="1"/>
    <x:col min="11" max="11" width="27" hidden="0" customWidth="1"/>
    <x:col min="12" max="12" width="35" hidden="0" customWidth="1"/>
  </x:cols>
  <x:sheetData>
    <x:row r="1" ht="32" customHeight="1">
      <x:c r="A1" s="5" t="str">
        <x:v>电能制氢模型｜一天内怎样分配最挣钱</x:v>
      </x:c>
      <x:c r="B1" s="5" t="str">
        <x:v>电能制氢模型｜一天内怎样分配最挣钱</x:v>
      </x:c>
      <x:c r="C1" s="5" t="str">
        <x:v>电能制氢模型｜一天内怎样分配最挣钱</x:v>
      </x:c>
      <x:c r="D1" s="5" t="str">
        <x:v>电能制氢模型｜一天内怎样分配最挣钱</x:v>
      </x:c>
      <x:c r="E1" s="5" t="str">
        <x:v>电能制氢模型｜一天内怎样分配最挣钱</x:v>
      </x:c>
      <x:c r="F1" s="5" t="str">
        <x:v>电能制氢模型｜一天内怎样分配最挣钱</x:v>
      </x:c>
      <x:c r="G1" s="5" t="str">
        <x:v>电能制氢模型｜一天内怎样分配最挣钱</x:v>
      </x:c>
      <x:c r="H1" s="5" t="str">
        <x:v>电能制氢模型｜一天内怎样分配最挣钱</x:v>
      </x:c>
      <x:c r="I1" s="5" t="str">
        <x:v>电能制氢模型｜一天内怎样分配最挣钱</x:v>
      </x:c>
      <x:c r="J1" s="5" t="str">
        <x:v>电能制氢模型｜一天内怎样分配最挣钱</x:v>
      </x:c>
      <x:c r="K1" s="5" t="str">
        <x:v>电能制氢模型｜一天内怎样分配最挣钱</x:v>
      </x:c>
      <x:c r="L1" s="5" t="str">
        <x:v>电能制氢模型｜一天内怎样分配最挣钱</x:v>
      </x:c>
    </x:row>
    <x:row r="2" ht="28" customHeight="1">
      <x:c r="A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B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C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D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E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F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G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H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I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J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K2" s="10" t="str">
        <x:v>BESS（电池储能系统）净功率：正数表示放电，负数表示充电。下表是 MATLAB 求得的最优结果；改变设备或运行参数后，需要重新运行 MATLAB，Excel 本身不会重新求最优解。</x:v>
      </x:c>
      <x:c r="L2" s="10" t="str">
        <x:v>BESS（电池储能系统）净功率：正数表示放电，负数表示充电。下表是 MATLAB 求得的最优结果；改变设备或运行参数后，需要重新运行 MATLAB，Excel 本身不会重新求最优解。</x:v>
      </x:c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</x:row>
    <x:row r="4" ht="28" customHeight="1">
      <x:c r="A4" s="23" t="str">
        <x:v>时段</x:v>
      </x:c>
      <x:c r="B4" s="23" t="str">
        <x:v>新能源功率
(MW)</x:v>
      </x:c>
      <x:c r="C4" s="23" t="str">
        <x:v>电价
(元/MWh)</x:v>
      </x:c>
      <x:c r="D4" s="23" t="str">
        <x:v>电解槽功率
(MW)</x:v>
      </x:c>
      <x:c r="E4" s="23" t="str">
        <x:v>BESS 净功率
(MW)</x:v>
      </x:c>
      <x:c r="F4" s="23" t="str">
        <x:v>外送功率
(MW)</x:v>
      </x:c>
      <x:c r="G4" s="23" t="str">
        <x:v>弃电功率
(MW)</x:v>
      </x:c>
      <x:c r="H4" s="23" t="str">
        <x:v>制氢量
(kg/时段)</x:v>
      </x:c>
      <x:c r="I4" s="23" t="str">
        <x:v>期末储氢量
(kg)</x:v>
      </x:c>
      <x:c r="J4" s="23" t="str">
        <x:v>期末电量
(MWh)</x:v>
      </x:c>
      <x:c r="K4" s="23" t="str">
        <x:v>系统在做什么</x:v>
      </x:c>
      <x:c r="L4" s="23" t="str">
        <x:v>为什么这样更赚钱</x:v>
      </x:c>
    </x:row>
    <x:row r="5" ht="46" customHeight="1">
      <x:c r="A5" s="19" t="str">
        <x:v>00:00-04:00</x:v>
      </x:c>
      <x:c r="B5" s="33" t="n">
        <x:v>350</x:v>
      </x:c>
      <x:c r="C5" s="33" t="n">
        <x:v>220</x:v>
      </x:c>
      <x:c r="D5" s="33" t="n">
        <x:v>100</x:v>
      </x:c>
      <x:c r="E5" s="33" t="n">
        <x:v>4.75</x:v>
      </x:c>
      <x:c r="F5" s="33" t="n">
        <x:v>204.75</x:v>
      </x:c>
      <x:c r="G5" s="33" t="n">
        <x:v>0</x:v>
      </x:c>
      <x:c r="H5" s="33" t="n">
        <x:v>7045.97498678879</x:v>
      </x:c>
      <x:c r="I5" s="33" t="n">
        <x:v>27045.9749867888</x:v>
      </x:c>
      <x:c r="J5" s="33" t="n">
        <x:v>0</x:v>
      </x:c>
      <x:c r="K5" s="19" t="str">
        <x:v>满功率制氢；用初始电量放电</x:v>
      </x:c>
      <x:c r="L5" s="19" t="str">
        <x:v>夜间电价一般，先满足制氢，同时释放少量储能增加售电</x:v>
      </x:c>
    </x:row>
    <x:row r="6" ht="46" customHeight="1">
      <x:c r="A6" s="19" t="str">
        <x:v>04:00-08:00</x:v>
      </x:c>
      <x:c r="B6" s="33" t="n">
        <x:v>650</x:v>
      </x:c>
      <x:c r="C6" s="33" t="n">
        <x:v>160</x:v>
      </x:c>
      <x:c r="D6" s="33" t="n">
        <x:v>100</x:v>
      </x:c>
      <x:c r="E6" s="33" t="n">
        <x:v>0</x:v>
      </x:c>
      <x:c r="F6" s="33" t="n">
        <x:v>500</x:v>
      </x:c>
      <x:c r="G6" s="33" t="n">
        <x:v>0</x:v>
      </x:c>
      <x:c r="H6" s="33" t="n">
        <x:v>7045.9749867888</x:v>
      </x:c>
      <x:c r="I6" s="33" t="n">
        <x:v>30091.9499735776</x:v>
      </x:c>
      <x:c r="J6" s="33" t="n">
        <x:v>0</x:v>
      </x:c>
      <x:c r="K6" s="19" t="str">
        <x:v>满功率制氢；外送线路满载</x:v>
      </x:c>
      <x:c r="L6" s="19" t="str">
        <x:v>电价较低且新能源充足，用低价电制氢更划算</x:v>
      </x:c>
    </x:row>
    <x:row r="7" ht="46" customHeight="1">
      <x:c r="A7" s="19" t="str">
        <x:v>08:00-12:00</x:v>
      </x:c>
      <x:c r="B7" s="33" t="n">
        <x:v>720</x:v>
      </x:c>
      <x:c r="C7" s="33" t="n">
        <x:v>140</x:v>
      </x:c>
      <x:c r="D7" s="33" t="n">
        <x:v>100</x:v>
      </x:c>
      <x:c r="E7" s="33" t="n">
        <x:v>-10.5263157894737</x:v>
      </x:c>
      <x:c r="F7" s="33" t="n">
        <x:v>500</x:v>
      </x:c>
      <x:c r="G7" s="33" t="n">
        <x:v>59.4736842105263</x:v>
      </x:c>
      <x:c r="H7" s="33" t="n">
        <x:v>7045.9749867888</x:v>
      </x:c>
      <x:c r="I7" s="33" t="n">
        <x:v>33137.9249603664</x:v>
      </x:c>
      <x:c r="J7" s="33" t="n">
        <x:v>40</x:v>
      </x:c>
      <x:c r="K7" s="19" t="str">
        <x:v>满功率制氢；给 BESS 充电</x:v>
      </x:c>
      <x:c r="L7" s="19" t="str">
        <x:v>电价最低，把原本可能弃掉的电存起来，留到高价时卖</x:v>
      </x:c>
    </x:row>
    <x:row r="8" ht="46" customHeight="1">
      <x:c r="A8" s="19" t="str">
        <x:v>12:00-16:00</x:v>
      </x:c>
      <x:c r="B8" s="33" t="n">
        <x:v>560</x:v>
      </x:c>
      <x:c r="C8" s="33" t="n">
        <x:v>300</x:v>
      </x:c>
      <x:c r="D8" s="33" t="n">
        <x:v>40.62</x:v>
      </x:c>
      <x:c r="E8" s="33" t="n">
        <x:v>0</x:v>
      </x:c>
      <x:c r="F8" s="33" t="n">
        <x:v>469.38</x:v>
      </x:c>
      <x:c r="G8" s="33" t="n">
        <x:v>0</x:v>
      </x:c>
      <x:c r="H8" s="33" t="n">
        <x:v>2862.07503963361</x:v>
      </x:c>
      <x:c r="I8" s="33" t="n">
        <x:v>32000</x:v>
      </x:c>
      <x:c r="J8" s="33" t="n">
        <x:v>40</x:v>
      </x:c>
      <x:c r="K8" s="19" t="str">
        <x:v>降低制氢功率</x:v>
      </x:c>
      <x:c r="L8" s="19" t="str">
        <x:v>电价回升，只生产满足全天交付所需的剩余氢量</x:v>
      </x:c>
    </x:row>
    <x:row r="9" ht="46" customHeight="1">
      <x:c r="A9" s="19" t="str">
        <x:v>16:00-20:00</x:v>
      </x:c>
      <x:c r="B9" s="33" t="n">
        <x:v>420</x:v>
      </x:c>
      <x:c r="C9" s="33" t="n">
        <x:v>580</x:v>
      </x:c>
      <x:c r="D9" s="33" t="n">
        <x:v>0</x:v>
      </x:c>
      <x:c r="E9" s="33" t="n">
        <x:v>9.5</x:v>
      </x:c>
      <x:c r="F9" s="33" t="n">
        <x:v>379.5</x:v>
      </x:c>
      <x:c r="G9" s="33" t="n">
        <x:v>0</x:v>
      </x:c>
      <x:c r="H9" s="33" t="n">
        <x:v>0</x:v>
      </x:c>
      <x:c r="I9" s="33" t="n">
        <x:v>28000</x:v>
      </x:c>
      <x:c r="J9" s="33" t="n">
        <x:v>0</x:v>
      </x:c>
      <x:c r="K9" s="19" t="str">
        <x:v>暂停制氢；BESS 放电</x:v>
      </x:c>
      <x:c r="L9" s="19" t="str">
        <x:v>电价最高，优先卖电比此时制氢更赚钱</x:v>
      </x:c>
    </x:row>
    <x:row r="10" ht="46" customHeight="1">
      <x:c r="A10" s="19" t="str">
        <x:v>20:00-24:00</x:v>
      </x:c>
      <x:c r="B10" s="33" t="n">
        <x:v>300</x:v>
      </x:c>
      <x:c r="C10" s="33" t="n">
        <x:v>360</x:v>
      </x:c>
      <x:c r="D10" s="33" t="n">
        <x:v>0</x:v>
      </x:c>
      <x:c r="E10" s="33" t="n">
        <x:v>-5.26315789473684</x:v>
      </x:c>
      <x:c r="F10" s="33" t="n">
        <x:v>244.736842105263</x:v>
      </x:c>
      <x:c r="G10" s="33" t="n">
        <x:v>0</x:v>
      </x:c>
      <x:c r="H10" s="33" t="n">
        <x:v>0</x:v>
      </x:c>
      <x:c r="I10" s="33" t="n">
        <x:v>24000</x:v>
      </x:c>
      <x:c r="J10" s="33" t="n">
        <x:v>20</x:v>
      </x:c>
      <x:c r="K10" s="19" t="str">
        <x:v>暂停制氢；恢复期末电量</x:v>
      </x:c>
      <x:c r="L10" s="19" t="str">
        <x:v>全天氢气任务已完成，同时满足储能期末状态约束</x:v>
      </x:c>
    </x:row>
    <x:row r="11">
      <x:c r="A11" s="68"/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</x:row>
    <x:row r="12" ht="28" customHeight="1">
      <x:c r="A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B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C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D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E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F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G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H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I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J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K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  <x:c r="L12" s="10" t="str">
        <x:v>最关键的逻辑：低电价时多制氢、给电池充电；高电价时少制氢或停机，把电直接卖出去。模型同时保证每小时供氢、储氢上下限、外送线路上限和储能期末状态都满足要求。</x:v>
      </x:c>
    </x:row>
    <x:row r="13">
      <x:c r="A13" s="68"/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</x:row>
    <x:row r="14" ht="24" customHeight="1">
      <x:c r="A14" s="14" t="str">
        <x:v>公式怎样代入</x:v>
      </x:c>
      <x:c r="B14" s="14" t="str">
        <x:v>公式怎样代入</x:v>
      </x:c>
      <x:c r="C14" s="14" t="str">
        <x:v>公式怎样代入</x:v>
      </x:c>
      <x:c r="D14" s="14" t="str">
        <x:v>公式怎样代入</x:v>
      </x:c>
      <x:c r="E14" s="14" t="str">
        <x:v>公式怎样代入</x:v>
      </x:c>
      <x:c r="F14" s="14" t="str">
        <x:v>公式怎样代入</x:v>
      </x:c>
      <x:c r="G14" s="14" t="str">
        <x:v>公式怎样代入</x:v>
      </x:c>
      <x:c r="H14" s="14" t="str">
        <x:v>公式怎样代入</x:v>
      </x:c>
      <x:c r="I14" s="14" t="str">
        <x:v>公式怎样代入</x:v>
      </x:c>
      <x:c r="J14" s="14" t="str">
        <x:v>公式怎样代入</x:v>
      </x:c>
      <x:c r="K14" s="14" t="str">
        <x:v>公式怎样代入</x:v>
      </x:c>
      <x:c r="L14" s="14" t="str">
        <x:v>公式怎样代入</x:v>
      </x:c>
    </x:row>
    <x:row r="15" ht="28" customHeight="1">
      <x:c r="A15" s="23" t="str">
        <x:v>公式</x:v>
      </x:c>
      <x:c r="B15" s="23"/>
      <x:c r="C15" s="23" t="str">
        <x:v>本情景代入</x:v>
      </x:c>
      <x:c r="D15" s="23"/>
      <x:c r="E15" s="23"/>
      <x:c r="F15" s="23" t="str">
        <x:v>结果与含义</x:v>
      </x:c>
      <x:c r="G15" s="23"/>
      <x:c r="H15" s="23"/>
      <x:c r="I15" s="23"/>
      <x:c r="J15" s="23"/>
      <x:c r="K15" s="23"/>
      <x:c r="L15" s="23"/>
    </x:row>
    <x:row r="16" ht="48" customHeight="1">
      <x:c r="A16" s="19" t="str">
        <x:v>时段制氢量 = 电解槽功率 × 时长 × 1000 ÷ 比能耗</x:v>
      </x:c>
      <x:c r="B16" s="19"/>
      <x:c r="C16" s="19" t="str">
        <x:v>100 × 4 × 1000 ÷ 56.77</x:v>
      </x:c>
      <x:c r="D16" s="19"/>
      <x:c r="E16" s="19"/>
      <x:c r="F16" s="19" t="str">
        <x:v>7045.97 kg：00:00—04:00 的制氢量</x:v>
      </x:c>
      <x:c r="G16" s="19"/>
      <x:c r="H16" s="19"/>
      <x:c r="I16" s="19"/>
      <x:c r="J16" s="19"/>
      <x:c r="K16" s="19"/>
      <x:c r="L16" s="19"/>
    </x:row>
    <x:row r="17" ht="48" customHeight="1">
      <x:c r="A17" s="19" t="str">
        <x:v>功率平衡 = 新能源 + 放电 − 厂用电 − 电解槽 − 充电 − 外送 − 弃电</x:v>
      </x:c>
      <x:c r="B17" s="19"/>
      <x:c r="C17" s="19" t="str">
        <x:v>720 + 0 − 50 − 100 − 10.53 − 500 − 59.47</x:v>
      </x:c>
      <x:c r="D17" s="19"/>
      <x:c r="E17" s="19"/>
      <x:c r="F17" s="19" t="str">
        <x:v>0 MW：08:00—12:00 功率完全平衡</x:v>
      </x:c>
      <x:c r="G17" s="19"/>
      <x:c r="H17" s="19"/>
      <x:c r="I17" s="19"/>
      <x:c r="J17" s="19"/>
      <x:c r="K17" s="19"/>
      <x:c r="L17" s="19"/>
    </x:row>
    <x:row r="18" ht="48" customHeight="1">
      <x:c r="A18" s="19" t="str">
        <x:v>日增量效益 = 氢气收入 + 优化售电收入 − 基准售电收入 − 变动成本 − 启停成本 − 储能损耗</x:v>
      </x:c>
      <x:c r="B18" s="19"/>
      <x:c r="C18" s="19" t="str">
        <x:v>72 + 236.11 − 245.67 − 8.40 − 2.00 − 0.171</x:v>
      </x:c>
      <x:c r="D18" s="19"/>
      <x:c r="E18" s="19"/>
      <x:c r="F18" s="19" t="str">
        <x:v>51.87 万元/日：相对不制氢的新增收益</x:v>
      </x:c>
      <x:c r="G18" s="19"/>
      <x:c r="H18" s="19"/>
      <x:c r="I18" s="19"/>
      <x:c r="J18" s="19"/>
      <x:c r="K18" s="19"/>
      <x:c r="L18" s="19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</x:row>
    <x:row r="20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</x:row>
    <x:row r="21" ht="28" customHeight="1">
      <x:c r="A21" s="23" t="str">
        <x:v>时段</x:v>
      </x:c>
      <x:c r="B21" s="23" t="str">
        <x:v>新能源功率</x:v>
      </x:c>
      <x:c r="C21" s="23" t="str">
        <x:v>电解槽功率</x:v>
      </x:c>
      <x:c r="D21" s="23" t="str">
        <x:v>外送功率</x:v>
      </x:c>
      <x:c r="E21" s="23" t="str">
        <x:v>BESS 净功率</x:v>
      </x:c>
      <x:c r="F21" s="68"/>
      <x:c r="G21" s="68"/>
      <x:c r="H21" s="68"/>
      <x:c r="I21" s="68"/>
      <x:c r="J21" s="68"/>
      <x:c r="K21" s="68"/>
      <x:c r="L21" s="68"/>
    </x:row>
    <x:row r="22">
      <x:c r="A22" s="35" t="str">
        <x:f>A5</x:f>
        <x:v>00:00-04:00</x:v>
      </x:c>
      <x:c r="B22" s="33" t="n">
        <x:f>B5</x:f>
        <x:v>350</x:v>
      </x:c>
      <x:c r="C22" s="33" t="n">
        <x:f>D5</x:f>
        <x:v>100</x:v>
      </x:c>
      <x:c r="D22" s="33" t="n">
        <x:f>F5</x:f>
        <x:v>204.75</x:v>
      </x:c>
      <x:c r="E22" s="33" t="n">
        <x:f>E5</x:f>
        <x:v>4.75</x:v>
      </x:c>
      <x:c r="F22" s="68"/>
      <x:c r="G22" s="68"/>
      <x:c r="H22" s="68"/>
      <x:c r="I22" s="68"/>
      <x:c r="J22" s="68"/>
      <x:c r="K22" s="68"/>
      <x:c r="L22" s="68"/>
    </x:row>
    <x:row r="23">
      <x:c r="A23" s="35" t="str">
        <x:f>A6</x:f>
        <x:v>04:00-08:00</x:v>
      </x:c>
      <x:c r="B23" s="33" t="n">
        <x:f>B6</x:f>
        <x:v>650</x:v>
      </x:c>
      <x:c r="C23" s="33" t="n">
        <x:f>D6</x:f>
        <x:v>100</x:v>
      </x:c>
      <x:c r="D23" s="33" t="n">
        <x:f>F6</x:f>
        <x:v>500</x:v>
      </x:c>
      <x:c r="E23" s="33" t="n">
        <x:f>E6</x:f>
        <x:v>0</x:v>
      </x:c>
      <x:c r="F23" s="68"/>
      <x:c r="G23" s="68"/>
      <x:c r="H23" s="68"/>
      <x:c r="I23" s="68"/>
      <x:c r="J23" s="68"/>
      <x:c r="K23" s="68"/>
      <x:c r="L23" s="68"/>
    </x:row>
    <x:row r="24">
      <x:c r="A24" s="35" t="str">
        <x:f>A7</x:f>
        <x:v>08:00-12:00</x:v>
      </x:c>
      <x:c r="B24" s="33" t="n">
        <x:f>B7</x:f>
        <x:v>720</x:v>
      </x:c>
      <x:c r="C24" s="33" t="n">
        <x:f>D7</x:f>
        <x:v>100</x:v>
      </x:c>
      <x:c r="D24" s="33" t="n">
        <x:f>F7</x:f>
        <x:v>500</x:v>
      </x:c>
      <x:c r="E24" s="33" t="n">
        <x:f>E7</x:f>
        <x:v>-10.5263157894737</x:v>
      </x:c>
      <x:c r="F24" s="68"/>
      <x:c r="G24" s="68"/>
      <x:c r="H24" s="68"/>
      <x:c r="I24" s="68"/>
      <x:c r="J24" s="68"/>
      <x:c r="K24" s="68"/>
      <x:c r="L24" s="68"/>
    </x:row>
    <x:row r="25">
      <x:c r="A25" s="35" t="str">
        <x:f>A8</x:f>
        <x:v>12:00-16:00</x:v>
      </x:c>
      <x:c r="B25" s="33" t="n">
        <x:f>B8</x:f>
        <x:v>560</x:v>
      </x:c>
      <x:c r="C25" s="33" t="n">
        <x:f>D8</x:f>
        <x:v>40.62</x:v>
      </x:c>
      <x:c r="D25" s="33" t="n">
        <x:f>F8</x:f>
        <x:v>469.38</x:v>
      </x:c>
      <x:c r="E25" s="33" t="n">
        <x:f>E8</x:f>
        <x:v>0</x:v>
      </x:c>
      <x:c r="F25" s="68"/>
      <x:c r="G25" s="68"/>
      <x:c r="H25" s="68"/>
      <x:c r="I25" s="68"/>
      <x:c r="J25" s="68"/>
      <x:c r="K25" s="68"/>
      <x:c r="L25" s="68"/>
    </x:row>
    <x:row r="26">
      <x:c r="A26" s="35" t="str">
        <x:f>A9</x:f>
        <x:v>16:00-20:00</x:v>
      </x:c>
      <x:c r="B26" s="33" t="n">
        <x:f>B9</x:f>
        <x:v>420</x:v>
      </x:c>
      <x:c r="C26" s="33" t="n">
        <x:f>D9</x:f>
        <x:v>0</x:v>
      </x:c>
      <x:c r="D26" s="33" t="n">
        <x:f>F9</x:f>
        <x:v>379.5</x:v>
      </x:c>
      <x:c r="E26" s="33" t="n">
        <x:f>E9</x:f>
        <x:v>9.5</x:v>
      </x:c>
      <x:c r="F26" s="68"/>
      <x:c r="G26" s="68"/>
      <x:c r="H26" s="68"/>
      <x:c r="I26" s="68"/>
      <x:c r="J26" s="68"/>
      <x:c r="K26" s="68"/>
      <x:c r="L26" s="68"/>
    </x:row>
    <x:row r="27">
      <x:c r="A27" s="35" t="str">
        <x:f>A10</x:f>
        <x:v>20:00-24:00</x:v>
      </x:c>
      <x:c r="B27" s="33" t="n">
        <x:f>B10</x:f>
        <x:v>300</x:v>
      </x:c>
      <x:c r="C27" s="33" t="n">
        <x:f>D10</x:f>
        <x:v>0</x:v>
      </x:c>
      <x:c r="D27" s="33" t="n">
        <x:f>F10</x:f>
        <x:v>244.736842105263</x:v>
      </x:c>
      <x:c r="E27" s="33" t="n">
        <x:f>E10</x:f>
        <x:v>-5.26315789473684</x:v>
      </x:c>
      <x:c r="F27" s="68"/>
      <x:c r="G27" s="68"/>
      <x:c r="H27" s="68"/>
      <x:c r="I27" s="68"/>
      <x:c r="J27" s="68"/>
      <x:c r="K27" s="68"/>
      <x:c r="L27" s="68"/>
    </x:row>
    <x:row r="28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</x:row>
    <x:row r="33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</x:row>
  </x:sheetData>
  <x:mergeCells>
    <x:mergeCell ref="A1:L1"/>
    <x:mergeCell ref="A2:L2"/>
    <x:mergeCell ref="A12:L12"/>
    <x:mergeCell ref="A14:L14"/>
    <x:mergeCell ref="A15:B15"/>
    <x:mergeCell ref="C15:E15"/>
    <x:mergeCell ref="F15:L15"/>
    <x:mergeCell ref="A16:B16"/>
    <x:mergeCell ref="C16:E16"/>
    <x:mergeCell ref="F16:L16"/>
    <x:mergeCell ref="A17:B17"/>
    <x:mergeCell ref="C17:E17"/>
    <x:mergeCell ref="F17:L17"/>
    <x:mergeCell ref="A18:B18"/>
    <x:mergeCell ref="C18:E18"/>
    <x:mergeCell ref="F18:L18"/>
  </x:mergeCells>
  <x:conditionalFormatting sqref="E5:E10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259ed04c3ae74282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26" hidden="0" customWidth="1"/>
    <x:col min="4" max="4" width="36" hidden="0" customWidth="1"/>
    <x:col min="5" max="5" width="13" hidden="0" customWidth="1"/>
    <x:col min="6" max="6" width="22" hidden="0" customWidth="1"/>
    <x:col min="7" max="7" width="16" hidden="0" customWidth="1"/>
    <x:col min="8" max="8" width="18" hidden="0" customWidth="1"/>
    <x:col min="9" max="9" width="36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2" customHeight="1">
      <x:c r="A1" s="5" t="str">
        <x:v>电能制氢模型｜收益、成本和回报</x:v>
      </x:c>
      <x:c r="B1" s="5" t="str">
        <x:v>电能制氢模型｜收益、成本和回报</x:v>
      </x:c>
      <x:c r="C1" s="5" t="str">
        <x:v>电能制氢模型｜收益、成本和回报</x:v>
      </x:c>
      <x:c r="D1" s="5" t="str">
        <x:v>电能制氢模型｜收益、成本和回报</x:v>
      </x:c>
      <x:c r="E1" s="5" t="str">
        <x:v>电能制氢模型｜收益、成本和回报</x:v>
      </x:c>
      <x:c r="F1" s="5" t="str">
        <x:v>电能制氢模型｜收益、成本和回报</x:v>
      </x:c>
      <x:c r="G1" s="5" t="str">
        <x:v>电能制氢模型｜收益、成本和回报</x:v>
      </x:c>
      <x:c r="H1" s="5" t="str">
        <x:v>电能制氢模型｜收益、成本和回报</x:v>
      </x:c>
      <x:c r="I1" s="5" t="str">
        <x:v>电能制氢模型｜收益、成本和回报</x:v>
      </x:c>
      <x:c r="J1" s="5" t="str">
        <x:v>电能制氢模型｜收益、成本和回报</x:v>
      </x:c>
      <x:c r="K1" s="5" t="str">
        <x:v>电能制氢模型｜收益、成本和回报</x:v>
      </x:c>
      <x:c r="L1" s="5" t="str">
        <x:v>电能制氢模型｜收益、成本和回报</x:v>
      </x:c>
      <x:c r="M1" s="5" t="str">
        <x:v>电能制氢模型｜收益、成本和回报</x:v>
      </x:c>
      <x:c r="N1" s="5" t="str">
        <x:v>电能制氢模型｜收益、成本和回报</x:v>
      </x:c>
      <x:c r="O1" s="5" t="str">
        <x:v>电能制氢模型｜收益、成本和回报</x:v>
      </x:c>
      <x:c r="P1" s="5" t="str">
        <x:v>电能制氢模型｜收益、成本和回报</x:v>
      </x:c>
      <x:c r="Q1" s="5" t="str">
        <x:v>电能制氢模型｜收益、成本和回报</x:v>
      </x:c>
    </x:row>
    <x:row r="2" ht="28" customHeight="1">
      <x:c r="A2" s="10" t="str">
        <x:v>所有金额均明确标注单位。日收益先与“不制氢只卖电”的基准相比；项目层面的 NPV、IRR、回收期和度电制氢成本再按 20 年现金流计算。</x:v>
      </x:c>
      <x:c r="B2" s="10" t="str">
        <x:v>所有金额均明确标注单位。日收益先与“不制氢只卖电”的基准相比；项目层面的 NPV、IRR、回收期和度电制氢成本再按 20 年现金流计算。</x:v>
      </x:c>
      <x:c r="C2" s="10" t="str">
        <x:v>所有金额均明确标注单位。日收益先与“不制氢只卖电”的基准相比；项目层面的 NPV、IRR、回收期和度电制氢成本再按 20 年现金流计算。</x:v>
      </x:c>
      <x:c r="D2" s="10" t="str">
        <x:v>所有金额均明确标注单位。日收益先与“不制氢只卖电”的基准相比；项目层面的 NPV、IRR、回收期和度电制氢成本再按 20 年现金流计算。</x:v>
      </x:c>
      <x:c r="E2" s="10" t="str">
        <x:v>所有金额均明确标注单位。日收益先与“不制氢只卖电”的基准相比；项目层面的 NPV、IRR、回收期和度电制氢成本再按 20 年现金流计算。</x:v>
      </x:c>
      <x:c r="F2" s="10" t="str">
        <x:v>所有金额均明确标注单位。日收益先与“不制氢只卖电”的基准相比；项目层面的 NPV、IRR、回收期和度电制氢成本再按 20 年现金流计算。</x:v>
      </x:c>
      <x:c r="G2" s="10" t="str">
        <x:v>所有金额均明确标注单位。日收益先与“不制氢只卖电”的基准相比；项目层面的 NPV、IRR、回收期和度电制氢成本再按 20 年现金流计算。</x:v>
      </x:c>
      <x:c r="H2" s="10" t="str">
        <x:v>所有金额均明确标注单位。日收益先与“不制氢只卖电”的基准相比；项目层面的 NPV、IRR、回收期和度电制氢成本再按 20 年现金流计算。</x:v>
      </x:c>
      <x:c r="I2" s="10" t="str">
        <x:v>所有金额均明确标注单位。日收益先与“不制氢只卖电”的基准相比；项目层面的 NPV、IRR、回收期和度电制氢成本再按 20 年现金流计算。</x:v>
      </x:c>
      <x:c r="J2" s="10" t="str">
        <x:v>所有金额均明确标注单位。日收益先与“不制氢只卖电”的基准相比；项目层面的 NPV、IRR、回收期和度电制氢成本再按 20 年现金流计算。</x:v>
      </x:c>
      <x:c r="K2" s="10" t="str">
        <x:v>所有金额均明确标注单位。日收益先与“不制氢只卖电”的基准相比；项目层面的 NPV、IRR、回收期和度电制氢成本再按 20 年现金流计算。</x:v>
      </x:c>
      <x:c r="L2" s="10" t="str">
        <x:v>所有金额均明确标注单位。日收益先与“不制氢只卖电”的基准相比；项目层面的 NPV、IRR、回收期和度电制氢成本再按 20 年现金流计算。</x:v>
      </x:c>
      <x:c r="M2" s="10" t="str">
        <x:v>所有金额均明确标注单位。日收益先与“不制氢只卖电”的基准相比；项目层面的 NPV、IRR、回收期和度电制氢成本再按 20 年现金流计算。</x:v>
      </x:c>
      <x:c r="N2" s="10" t="str">
        <x:v>所有金额均明确标注单位。日收益先与“不制氢只卖电”的基准相比；项目层面的 NPV、IRR、回收期和度电制氢成本再按 20 年现金流计算。</x:v>
      </x:c>
      <x:c r="O2" s="10" t="str">
        <x:v>所有金额均明确标注单位。日收益先与“不制氢只卖电”的基准相比；项目层面的 NPV、IRR、回收期和度电制氢成本再按 20 年现金流计算。</x:v>
      </x:c>
      <x:c r="P2" s="10" t="str">
        <x:v>所有金额均明确标注单位。日收益先与“不制氢只卖电”的基准相比；项目层面的 NPV、IRR、回收期和度电制氢成本再按 20 年现金流计算。</x:v>
      </x:c>
      <x:c r="Q2" s="10" t="str">
        <x:v>所有金额均明确标注单位。日收益先与“不制氢只卖电”的基准相比；项目层面的 NPV、IRR、回收期和度电制氢成本再按 20 年现金流计算。</x:v>
      </x:c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</x:row>
    <x:row r="4" ht="24" customHeight="1">
      <x:c r="A4" s="14" t="str">
        <x:v>每天多赚多少钱</x:v>
      </x:c>
      <x:c r="B4" s="14" t="str">
        <x:v>每天多赚多少钱</x:v>
      </x:c>
      <x:c r="C4" s="14" t="str">
        <x:v>每天多赚多少钱</x:v>
      </x:c>
      <x:c r="D4" s="14" t="str">
        <x:v>每天多赚多少钱</x:v>
      </x:c>
      <x:c r="E4" s="68"/>
      <x:c r="F4" s="14" t="str">
        <x:v>项目经济指标</x:v>
      </x:c>
      <x:c r="G4" s="14" t="str">
        <x:v>项目经济指标</x:v>
      </x:c>
      <x:c r="H4" s="14" t="str">
        <x:v>项目经济指标</x:v>
      </x:c>
      <x:c r="I4" s="14" t="str">
        <x:v>项目经济指标</x:v>
      </x:c>
      <x:c r="J4" s="68"/>
      <x:c r="K4" s="68"/>
      <x:c r="L4" s="68"/>
      <x:c r="M4" s="68"/>
      <x:c r="N4" s="68"/>
      <x:c r="O4" s="68"/>
      <x:c r="P4" s="68"/>
      <x:c r="Q4" s="68"/>
    </x:row>
    <x:row r="5" ht="28" customHeight="1">
      <x:c r="A5" s="23" t="str">
        <x:v>项目</x:v>
      </x:c>
      <x:c r="B5" s="23" t="str">
        <x:v>金额（万元/日）</x:v>
      </x:c>
      <x:c r="C5" s="23" t="str">
        <x:v>计算依据</x:v>
      </x:c>
      <x:c r="D5" s="23" t="str">
        <x:v>怎么理解</x:v>
      </x:c>
      <x:c r="E5" s="68"/>
      <x:c r="F5" s="23" t="str">
        <x:v>指标</x:v>
      </x:c>
      <x:c r="G5" s="23" t="str">
        <x:v>结果</x:v>
      </x:c>
      <x:c r="H5" s="23" t="str">
        <x:v>单位</x:v>
      </x:c>
      <x:c r="I5" s="23" t="str">
        <x:v>浅显解释</x:v>
      </x:c>
      <x:c r="J5" s="68"/>
      <x:c r="K5" s="68"/>
      <x:c r="L5" s="68"/>
      <x:c r="M5" s="68"/>
      <x:c r="N5" s="68"/>
      <x:c r="O5" s="68"/>
      <x:c r="P5" s="68"/>
      <x:c r="Q5" s="68"/>
    </x:row>
    <x:row r="6" ht="32" customHeight="1">
      <x:c r="A6" s="19" t="str">
        <x:v>氢气销售收入</x:v>
      </x:c>
      <x:c r="B6" s="36" t="n">
        <x:f>'2_输入参数'!B6*SUM('3_最优分配'!H5:H10)/10000</x:f>
        <x:v>72</x:v>
      </x:c>
      <x:c r="C6" s="19" t="str">
        <x:v>氢价 × 日制氢量</x:v>
      </x:c>
      <x:c r="D6" s="19" t="str">
        <x:v>卖氢得到的收入</x:v>
      </x:c>
      <x:c r="E6" s="68"/>
      <x:c r="F6" s="19" t="str">
        <x:v>年制氢量</x:v>
      </x:c>
      <x:c r="G6" s="43" t="n">
        <x:f>SUM('3_最优分配'!H5:H10)*'2_输入参数'!B10/1000000</x:f>
        <x:v>7.92</x:v>
      </x:c>
      <x:c r="H6" s="19" t="str">
        <x:v>kt/年</x:v>
      </x:c>
      <x:c r="I6" s="19" t="str">
        <x:v>一年可交付的氢气总量</x:v>
      </x:c>
      <x:c r="J6" s="68"/>
      <x:c r="K6" s="68"/>
      <x:c r="L6" s="68"/>
      <x:c r="M6" s="68"/>
      <x:c r="N6" s="68"/>
      <x:c r="O6" s="68"/>
      <x:c r="P6" s="68"/>
      <x:c r="Q6" s="68"/>
    </x:row>
    <x:row r="7" ht="32" customHeight="1">
      <x:c r="A7" s="19" t="str">
        <x:v>最优调度售电收入</x:v>
      </x:c>
      <x:c r="B7" s="36" t="n">
        <x:f>'2_输入参数'!B20</x:f>
        <x:v>236.11061305263158</x:v>
      </x:c>
      <x:c r="C7" s="19" t="str">
        <x:v>来自 MATLAB 最优调度</x:v>
      </x:c>
      <x:c r="D7" s="19" t="str">
        <x:v>制氢以后仍可获得的售电收入</x:v>
      </x:c>
      <x:c r="E7" s="68"/>
      <x:c r="F7" s="19" t="str">
        <x:v>年净现金流（更换前）</x:v>
      </x:c>
      <x:c r="G7" s="43" t="n">
        <x:f>B12*'2_输入参数'!B10/100-'2_输入参数'!B28*'2_输入参数'!B33</x:f>
        <x:v>154.91048307368433</x:v>
      </x:c>
      <x:c r="H7" s="19" t="str">
        <x:v>百万元/年</x:v>
      </x:c>
      <x:c r="I7" s="19" t="str">
        <x:v>日增量效益年化后再扣固定运维</x:v>
      </x:c>
      <x:c r="J7" s="68"/>
      <x:c r="K7" s="68"/>
      <x:c r="L7" s="68"/>
      <x:c r="M7" s="68"/>
      <x:c r="N7" s="68"/>
      <x:c r="O7" s="68"/>
      <x:c r="P7" s="68"/>
      <x:c r="Q7" s="68"/>
    </x:row>
    <x:row r="8" ht="32" customHeight="1">
      <x:c r="A8" s="19" t="str">
        <x:v>减：无制氢基准售电收入</x:v>
      </x:c>
      <x:c r="B8" s="36" t="n">
        <x:f>-'2_输入参数'!B19</x:f>
        <x:v>-245.6728</x:v>
      </x:c>
      <x:c r="C8" s="19" t="str">
        <x:v>来自无制氢基准</x:v>
      </x:c>
      <x:c r="D8" s="19" t="str">
        <x:v>如果不制氢，本来能获得的售电收入</x:v>
      </x:c>
      <x:c r="E8" s="68"/>
      <x:c r="F8" s="19" t="str">
        <x:v>净现值 NPV</x:v>
      </x:c>
      <x:c r="G8" s="43" t="n">
        <x:f>SUM(G32:G52)</x:f>
        <x:v>777.3160306695245</x:v>
      </x:c>
      <x:c r="H8" s="19" t="str">
        <x:v>百万元</x:v>
      </x:c>
      <x:c r="I8" s="19" t="str">
        <x:v>大于 0 表示按 8% 折现后仍有价值</x:v>
      </x:c>
      <x:c r="J8" s="68"/>
      <x:c r="K8" s="68"/>
      <x:c r="L8" s="68"/>
      <x:c r="M8" s="68"/>
      <x:c r="N8" s="68"/>
      <x:c r="O8" s="68"/>
      <x:c r="P8" s="68"/>
      <x:c r="Q8" s="68"/>
    </x:row>
    <x:row r="9" ht="32" customHeight="1">
      <x:c r="A9" s="19" t="str">
        <x:v>减：氢气变动成本</x:v>
      </x:c>
      <x:c r="B9" s="36" t="n">
        <x:f>-'2_输入参数'!B8*SUM('3_最优分配'!H5:H10)/10000</x:f>
        <x:v>-8.4</x:v>
      </x:c>
      <x:c r="C9" s="19" t="str">
        <x:v>单位变动成本 × 日制氢量</x:v>
      </x:c>
      <x:c r="D9" s="19" t="str">
        <x:v>水、耗材等随产量增加的成本</x:v>
      </x:c>
      <x:c r="E9" s="68"/>
      <x:c r="F9" s="19" t="str">
        <x:v>内部收益率 IRR</x:v>
      </x:c>
      <x:c r="G9" s="44" t="n">
        <x:f>IRR(E32:E52)</x:f>
        <x:v>0.22501569935333027</x:v>
      </x:c>
      <x:c r="H9" s="19" t="str">
        <x:v>%</x:v>
      </x:c>
      <x:c r="I9" s="19" t="str">
        <x:v>项目自身的年化收益率</x:v>
      </x:c>
      <x:c r="J9" s="68"/>
      <x:c r="K9" s="68"/>
      <x:c r="L9" s="68"/>
      <x:c r="M9" s="68"/>
      <x:c r="N9" s="68"/>
      <x:c r="O9" s="68"/>
      <x:c r="P9" s="68"/>
      <x:c r="Q9" s="68"/>
    </x:row>
    <x:row r="10" ht="32" customHeight="1">
      <x:c r="A10" s="19" t="str">
        <x:v>减：启停成本</x:v>
      </x:c>
      <x:c r="B10" s="36" t="n">
        <x:f>-'2_输入参数'!B22</x:f>
        <x:v>-2</x:v>
      </x:c>
      <x:c r="C10" s="19" t="str">
        <x:v>当天启动成本</x:v>
      </x:c>
      <x:c r="D10" s="19" t="str">
        <x:v>避免频繁启停带来的费用</x:v>
      </x:c>
      <x:c r="E10" s="68"/>
      <x:c r="F10" s="19" t="str">
        <x:v>静态回收期</x:v>
      </x:c>
      <x:c r="G10" s="43" t="n">
        <x:f>'2_输入参数'!B28/G7</x:f>
        <x:v>4.195971680566141</x:v>
      </x:c>
      <x:c r="H10" s="19" t="str">
        <x:v>年</x:v>
      </x:c>
      <x:c r="I10" s="19" t="str">
        <x:v>累计经营现金收回初始投资所需时间</x:v>
      </x:c>
      <x:c r="J10" s="68"/>
      <x:c r="K10" s="68"/>
      <x:c r="L10" s="68"/>
      <x:c r="M10" s="68"/>
      <x:c r="N10" s="68"/>
      <x:c r="O10" s="68"/>
      <x:c r="P10" s="68"/>
      <x:c r="Q10" s="68"/>
    </x:row>
    <x:row r="11" ht="32" customHeight="1">
      <x:c r="A11" s="19" t="str">
        <x:v>减：BESS 衰减成本</x:v>
      </x:c>
      <x:c r="B11" s="36" t="n">
        <x:f>-'2_输入参数'!B23</x:f>
        <x:v>-0.171</x:v>
      </x:c>
      <x:c r="C11" s="19" t="str">
        <x:v>当天充放电损耗</x:v>
      </x:c>
      <x:c r="D11" s="19" t="str">
        <x:v>储能循环造成的寿命成本</x:v>
      </x:c>
      <x:c r="E11" s="68"/>
      <x:c r="F11" s="19" t="str">
        <x:v>平准化制氢成本 LCOH</x:v>
      </x:c>
      <x:c r="G11" s="43" t="n">
        <x:f>B27</x:f>
        <x:v>20.003616833669827</x:v>
      </x:c>
      <x:c r="H11" s="19" t="str">
        <x:v>元/kg</x:v>
      </x:c>
      <x:c r="I11" s="19" t="str">
        <x:v>全寿命期平均每 kg 氢气的成本</x:v>
      </x:c>
      <x:c r="J11" s="68"/>
      <x:c r="K11" s="68"/>
      <x:c r="L11" s="68"/>
      <x:c r="M11" s="68"/>
      <x:c r="N11" s="68"/>
      <x:c r="O11" s="68"/>
      <x:c r="P11" s="68"/>
      <x:c r="Q11" s="68"/>
    </x:row>
    <x:row r="12" ht="32" customHeight="1">
      <x:c r="A12" s="39" t="str">
        <x:v>日增量效益</x:v>
      </x:c>
      <x:c r="B12" s="41" t="n">
        <x:f>SUM(B6:B11)</x:f>
        <x:v>51.86681305263161</x:v>
      </x:c>
      <x:c r="C12" s="39" t="str">
        <x:v>以上各项相加</x:v>
      </x:c>
      <x:c r="D12" s="39" t="str">
        <x:v>相对不制氢方案，一天新增的收益</x:v>
      </x:c>
      <x:c r="E12" s="68"/>
      <x:c r="F12" s="19" t="str">
        <x:v>盈亏平衡氢价</x:v>
      </x:c>
      <x:c r="G12" s="43" t="n">
        <x:f>B27</x:f>
        <x:v>20.003616833669827</x:v>
      </x:c>
      <x:c r="H12" s="19" t="str">
        <x:v>元/kg</x:v>
      </x:c>
      <x:c r="I12" s="19" t="str">
        <x:v>氢价低于该值时项目较难覆盖全部成本</x:v>
      </x:c>
      <x:c r="J12" s="68"/>
      <x:c r="K12" s="68"/>
      <x:c r="L12" s="68"/>
      <x:c r="M12" s="68"/>
      <x:c r="N12" s="68"/>
      <x:c r="O12" s="68"/>
      <x:c r="P12" s="68"/>
      <x:c r="Q12" s="68"/>
    </x:row>
    <x:row r="13" ht="32" customHeight="1">
      <x:c r="A13" s="68"/>
      <x:c r="B13" s="68"/>
      <x:c r="C13" s="68"/>
      <x:c r="D13" s="68"/>
      <x:c r="E13" s="68"/>
      <x:c r="F13" s="19" t="str">
        <x:v>初始投资</x:v>
      </x:c>
      <x:c r="G13" s="43" t="n">
        <x:f>'2_输入参数'!B28</x:f>
        <x:v>650</x:v>
      </x:c>
      <x:c r="H13" s="19" t="str">
        <x:v>百万元</x:v>
      </x:c>
      <x:c r="I13" s="19" t="str">
        <x:v>建设期一次性投入</x:v>
      </x:c>
      <x:c r="J13" s="68"/>
      <x:c r="K13" s="68"/>
      <x:c r="L13" s="68"/>
      <x:c r="M13" s="68"/>
      <x:c r="N13" s="68"/>
      <x:c r="O13" s="68"/>
      <x:c r="P13" s="68"/>
      <x:c r="Q13" s="68"/>
    </x:row>
    <x:row r="14" ht="32" customHeight="1">
      <x:c r="A14" s="68"/>
      <x:c r="B14" s="68"/>
      <x:c r="C14" s="68"/>
      <x:c r="D14" s="68"/>
      <x:c r="E14" s="68"/>
      <x:c r="F14" s="19" t="str">
        <x:v>模型状态</x:v>
      </x:c>
      <x:c r="G14" s="45" t="str">
        <x:v>正常</x:v>
      </x:c>
      <x:c r="H14" s="19" t="str">
        <x:v>—</x:v>
      </x:c>
      <x:c r="I14" s="19" t="str">
        <x:v>关键约束和财务勾稽均通过</x:v>
      </x:c>
      <x:c r="J14" s="68"/>
      <x:c r="K14" s="68"/>
      <x:c r="L14" s="68"/>
      <x:c r="M14" s="68"/>
      <x:c r="N14" s="68"/>
      <x:c r="O14" s="68"/>
      <x:c r="P14" s="68"/>
      <x:c r="Q14" s="68"/>
    </x:row>
    <x:row r="15" ht="24" customHeight="1">
      <x:c r="A15" s="14" t="str">
        <x:v>每千克氢气的全寿命成本怎样算</x:v>
      </x:c>
      <x:c r="B15" s="14" t="str">
        <x:v>每千克氢气的全寿命成本怎样算</x:v>
      </x:c>
      <x:c r="C15" s="14" t="str">
        <x:v>每千克氢气的全寿命成本怎样算</x:v>
      </x:c>
      <x:c r="D15" s="14" t="str">
        <x:v>每千克氢气的全寿命成本怎样算</x:v>
      </x:c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 ht="24" customHeight="1">
      <x:c r="A16" s="23" t="str">
        <x:v>成本项目</x:v>
      </x:c>
      <x:c r="B16" s="23" t="str">
        <x:v>年化金额（百万元/年）</x:v>
      </x:c>
      <x:c r="C16" s="23" t="str">
        <x:v>计算方式</x:v>
      </x:c>
      <x:c r="D16" s="23" t="str">
        <x:v>说明</x:v>
      </x:c>
      <x:c r="E16" s="68"/>
      <x:c r="F16" s="14" t="str">
        <x:v>三种运行方式对比</x:v>
      </x:c>
      <x:c r="G16" s="14" t="str">
        <x:v>三种运行方式对比</x:v>
      </x:c>
      <x:c r="H16" s="14" t="str">
        <x:v>三种运行方式对比</x:v>
      </x:c>
      <x:c r="I16" s="14" t="str">
        <x:v>三种运行方式对比</x:v>
      </x:c>
      <x:c r="J16" s="68"/>
      <x:c r="K16" s="68"/>
      <x:c r="L16" s="68"/>
      <x:c r="M16" s="68"/>
      <x:c r="N16" s="68"/>
      <x:c r="O16" s="68"/>
      <x:c r="P16" s="68"/>
      <x:c r="Q16" s="68"/>
    </x:row>
    <x:row r="17" ht="28" customHeight="1">
      <x:c r="A17" s="19" t="str">
        <x:v>初始投资年化</x:v>
      </x:c>
      <x:c r="B17" s="36" t="n">
        <x:f>'2_输入参数'!B28*('2_输入参数'!B34*(1+'2_输入参数'!B34)^'2_输入参数'!B35)/((1+'2_输入参数'!B34)^'2_输入参数'!B35-1)</x:f>
        <x:v>66.20393573504788</x:v>
      </x:c>
      <x:c r="C17" s="19" t="str">
        <x:v>初始投资 × 资本回收系数</x:v>
      </x:c>
      <x:c r="D17" s="19" t="str">
        <x:v>把一次性建设投资平均到各年</x:v>
      </x:c>
      <x:c r="E17" s="68"/>
      <x:c r="F17" s="23" t="str">
        <x:v>策略</x:v>
      </x:c>
      <x:c r="G17" s="23" t="str">
        <x:v>日制氢量（t）</x:v>
      </x:c>
      <x:c r="H17" s="23" t="str">
        <x:v>售电收入（万元/日）</x:v>
      </x:c>
      <x:c r="I17" s="23" t="str">
        <x:v>日增量效益（万元/日）</x:v>
      </x:c>
      <x:c r="J17" s="68"/>
      <x:c r="K17" s="68"/>
      <x:c r="L17" s="68"/>
      <x:c r="M17" s="68"/>
      <x:c r="N17" s="68"/>
      <x:c r="O17" s="68"/>
      <x:c r="P17" s="68"/>
      <x:c r="Q17" s="68"/>
    </x:row>
    <x:row r="18" ht="30" customHeight="1">
      <x:c r="A18" s="19" t="str">
        <x:v>电堆更换年化</x:v>
      </x:c>
      <x:c r="B18" s="36" t="n">
        <x:f>('2_输入参数'!B36/(1+'2_输入参数'!B34)^'2_输入参数'!B37+'2_输入参数'!B36/(1+'2_输入参数'!B34)^'2_输入参数'!B38)*('2_输入参数'!B34*(1+'2_输入参数'!B34)^'2_输入参数'!B35)/((1+'2_输入参数'!B34)^'2_输入参数'!B35-1)</x:f>
        <x:v>9.53519266130139</x:v>
      </x:c>
      <x:c r="C18" s="19" t="str">
        <x:v>更换费折现后再年化</x:v>
      </x:c>
      <x:c r="D18" s="19" t="str">
        <x:v>考虑第 8、16 年更换电堆</x:v>
      </x:c>
      <x:c r="E18" s="68"/>
      <x:c r="F18" s="19" t="str">
        <x:v>不制氢基准</x:v>
      </x:c>
      <x:c r="G18" s="33" t="n">
        <x:v>0</x:v>
      </x:c>
      <x:c r="H18" s="33" t="n">
        <x:f>'2_输入参数'!B19</x:f>
        <x:v>245.6728</x:v>
      </x:c>
      <x:c r="I18" s="33" t="n">
        <x:v>0</x:v>
      </x:c>
      <x:c r="J18" s="68"/>
      <x:c r="K18" s="68"/>
      <x:c r="L18" s="68"/>
      <x:c r="M18" s="68"/>
      <x:c r="N18" s="68"/>
      <x:c r="O18" s="68"/>
      <x:c r="P18" s="68"/>
      <x:c r="Q18" s="68"/>
    </x:row>
    <x:row r="19" ht="30" customHeight="1">
      <x:c r="A19" s="19" t="str">
        <x:v>固定运维</x:v>
      </x:c>
      <x:c r="B19" s="36" t="n">
        <x:f>'2_输入参数'!B28*'2_输入参数'!B33</x:f>
        <x:v>16.25</x:v>
      </x:c>
      <x:c r="C19" s="19" t="str">
        <x:v>初始投资 × 固定运维费率</x:v>
      </x:c>
      <x:c r="D19" s="19" t="str">
        <x:v>每年固定发生的维护费用</x:v>
      </x:c>
      <x:c r="E19" s="68"/>
      <x:c r="F19" s="19" t="str">
        <x:v>全天均匀制氢</x:v>
      </x:c>
      <x:c r="G19" s="33" t="n">
        <x:v>24</x:v>
      </x:c>
      <x:c r="H19" s="33" t="n">
        <x:f>'2_输入参数'!B21</x:f>
        <x:v>217.73447145263157</x:v>
      </x:c>
      <x:c r="I19" s="33" t="n">
        <x:f>'2_输入参数'!B6*G19*1000/10000+H19-'2_输入参数'!B19-'2_输入参数'!B8*G19*1000/10000-'2_输入参数'!B22-'2_输入参数'!B23</x:f>
        <x:v>33.490671452631574</x:v>
      </x:c>
      <x:c r="J19" s="68"/>
      <x:c r="K19" s="68"/>
      <x:c r="L19" s="68"/>
      <x:c r="M19" s="68"/>
      <x:c r="N19" s="68"/>
      <x:c r="O19" s="68"/>
      <x:c r="P19" s="68"/>
      <x:c r="Q19" s="68"/>
    </x:row>
    <x:row r="20" ht="30" customHeight="1">
      <x:c r="A20" s="19" t="str">
        <x:v>氢气变动成本</x:v>
      </x:c>
      <x:c r="B20" s="36" t="n">
        <x:f>'2_输入参数'!B8*SUM('3_最优分配'!H5:H10)*'2_输入参数'!B10/1000000</x:f>
        <x:v>27.72</x:v>
      </x:c>
      <x:c r="C20" s="19" t="str">
        <x:v>单位成本 × 年制氢量</x:v>
      </x:c>
      <x:c r="D20" s="19" t="str">
        <x:v>随产量变化</x:v>
      </x:c>
      <x:c r="E20" s="68"/>
      <x:c r="F20" s="19" t="str">
        <x:v>优化调度</x:v>
      </x:c>
      <x:c r="G20" s="33" t="n">
        <x:v>24</x:v>
      </x:c>
      <x:c r="H20" s="33" t="n">
        <x:f>'2_输入参数'!B20</x:f>
        <x:v>236.11061305263158</x:v>
      </x:c>
      <x:c r="I20" s="33" t="n">
        <x:f>B12</x:f>
        <x:v>51.86681305263161</x:v>
      </x:c>
      <x:c r="J20" s="68"/>
      <x:c r="K20" s="68"/>
      <x:c r="L20" s="68"/>
      <x:c r="M20" s="68"/>
      <x:c r="N20" s="68"/>
      <x:c r="O20" s="68"/>
      <x:c r="P20" s="68"/>
      <x:c r="Q20" s="68"/>
    </x:row>
    <x:row r="21" ht="31" customHeight="1">
      <x:c r="A21" s="19" t="str">
        <x:v>启停成本</x:v>
      </x:c>
      <x:c r="B21" s="36" t="n">
        <x:f>'2_输入参数'!B22*'2_输入参数'!B10/100</x:f>
        <x:v>6.6</x:v>
      </x:c>
      <x:c r="C21" s="19" t="str">
        <x:v>日启停成本 × 等效天数</x:v>
      </x:c>
      <x:c r="D21" s="19" t="str">
        <x:v>由日运行策略产生</x:v>
      </x:c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</x:row>
    <x:row r="22" ht="28" customHeight="1">
      <x:c r="A22" s="19" t="str">
        <x:v>BESS 衰减成本</x:v>
      </x:c>
      <x:c r="B22" s="36" t="n">
        <x:f>'2_输入参数'!B23*'2_输入参数'!B10/100</x:f>
        <x:v>0.5643</x:v>
      </x:c>
      <x:c r="C22" s="19" t="str">
        <x:v>日衰减成本 × 等效天数</x:v>
      </x:c>
      <x:c r="D22" s="19" t="str">
        <x:v>电池寿命损耗</x:v>
      </x:c>
      <x:c r="E22" s="68"/>
      <x:c r="F22" s="23" t="str">
        <x:v>策略</x:v>
      </x:c>
      <x:c r="G22" s="23" t="str">
        <x:v>日增量效益（万元）</x:v>
      </x:c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</x:row>
    <x:row r="23" ht="31" customHeight="1">
      <x:c r="A23" s="19" t="str">
        <x:v>用电机会成本</x:v>
      </x:c>
      <x:c r="B23" s="36" t="n">
        <x:f>'2_输入参数'!B24*'2_输入参数'!B10/100</x:f>
        <x:v>37.34427839999999</x:v>
      </x:c>
      <x:c r="C23" s="19" t="str">
        <x:v>日机会成本 × 等效天数</x:v>
      </x:c>
      <x:c r="D23" s="19" t="str">
        <x:v>用于制氢而少卖电的损失</x:v>
      </x:c>
      <x:c r="E23" s="68"/>
      <x:c r="F23" s="33" t="str">
        <x:v>不制氢</x:v>
      </x:c>
      <x:c r="G23" s="33" t="n">
        <x:v>0</x:v>
      </x:c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</x:row>
    <x:row r="24" ht="31" customHeight="1">
      <x:c r="A24" s="19" t="str">
        <x:v>减：BESS 增值</x:v>
      </x:c>
      <x:c r="B24" s="36" t="n">
        <x:f>-'2_输入参数'!B25*'2_输入参数'!B10/100</x:f>
        <x:v>-5.789061473684236</x:v>
      </x:c>
      <x:c r="C24" s="19" t="str">
        <x:v>日储能增值 × 等效天数</x:v>
      </x:c>
      <x:c r="D24" s="19" t="str">
        <x:v>低充高放带来的收益用于抵减成本</x:v>
      </x:c>
      <x:c r="E24" s="68"/>
      <x:c r="F24" s="33" t="str">
        <x:v>均匀制氢</x:v>
      </x:c>
      <x:c r="G24" s="33" t="n">
        <x:f>I19</x:f>
        <x:v>33.490671452631574</x:v>
      </x:c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</x:row>
    <x:row r="25" ht="31" customHeight="1">
      <x:c r="A25" s="39" t="str">
        <x:v>年等效总成本</x:v>
      </x:c>
      <x:c r="B25" s="41" t="n">
        <x:f>SUM(B17:B24)</x:f>
        <x:v>158.42864532266503</x:v>
      </x:c>
      <x:c r="C25" s="39" t="str">
        <x:v>以上各项相加</x:v>
      </x:c>
      <x:c r="D25" s="39" t="str">
        <x:v>LCOH 的成本分子</x:v>
      </x:c>
      <x:c r="E25" s="68"/>
      <x:c r="F25" s="33" t="str">
        <x:v>优化调度</x:v>
      </x:c>
      <x:c r="G25" s="33" t="n">
        <x:f>I20</x:f>
        <x:v>51.86681305263161</x:v>
      </x:c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</x:row>
    <x:row r="26" ht="31" customHeight="1">
      <x:c r="A26" s="39" t="str">
        <x:v>年制氢量</x:v>
      </x:c>
      <x:c r="B26" s="41" t="n">
        <x:f>SUM('3_最优分配'!H5:H10)*'2_输入参数'!B10</x:f>
        <x:v>7920000</x:v>
      </x:c>
      <x:c r="C26" s="39" t="str">
        <x:v>kg/年</x:v>
      </x:c>
      <x:c r="D26" s="39" t="str">
        <x:v>LCOH 的产量分母</x:v>
      </x:c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</x:row>
    <x:row r="27" ht="31" customHeight="1">
      <x:c r="A27" s="39" t="str">
        <x:v>LCOH</x:v>
      </x:c>
      <x:c r="B27" s="41" t="n">
        <x:f>B25*1000000/B26</x:f>
        <x:v>20.003616833669827</x:v>
      </x:c>
      <x:c r="C27" s="39" t="str">
        <x:v>年等效总成本 ÷ 年制氢量</x:v>
      </x:c>
      <x:c r="D27" s="39" t="str">
        <x:v>平均生产 1 kg 氢气的全成本</x:v>
      </x:c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</x:row>
    <x:row r="28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</x:row>
    <x:row r="30" ht="24" customHeight="1">
      <x:c r="A30" s="14" t="str">
        <x:v>20 年现金流（百万元）</x:v>
      </x:c>
      <x:c r="B30" s="14" t="str">
        <x:v>20 年现金流（百万元）</x:v>
      </x:c>
      <x:c r="C30" s="14" t="str">
        <x:v>20 年现金流（百万元）</x:v>
      </x:c>
      <x:c r="D30" s="14" t="str">
        <x:v>20 年现金流（百万元）</x:v>
      </x:c>
      <x:c r="E30" s="14" t="str">
        <x:v>20 年现金流（百万元）</x:v>
      </x:c>
      <x:c r="F30" s="14" t="str">
        <x:v>20 年现金流（百万元）</x:v>
      </x:c>
      <x:c r="G30" s="14" t="str">
        <x:v>20 年现金流（百万元）</x:v>
      </x:c>
      <x:c r="H30" s="14" t="str">
        <x:v>20 年现金流（百万元）</x:v>
      </x:c>
      <x:c r="I30" s="68"/>
      <x:c r="J30" s="68"/>
      <x:c r="K30" s="68"/>
      <x:c r="L30" s="68"/>
      <x:c r="M30" s="68"/>
      <x:c r="N30" s="68"/>
      <x:c r="O30" s="68"/>
      <x:c r="P30" s="68"/>
      <x:c r="Q30" s="68"/>
    </x:row>
    <x:row r="31" ht="28" customHeight="1">
      <x:c r="A31" s="23" t="str">
        <x:v>年份</x:v>
      </x:c>
      <x:c r="B31" s="23" t="str">
        <x:v>初始投资</x:v>
      </x:c>
      <x:c r="C31" s="23" t="str">
        <x:v>经营现金</x:v>
      </x:c>
      <x:c r="D31" s="23" t="str">
        <x:v>电堆更换</x:v>
      </x:c>
      <x:c r="E31" s="23" t="str">
        <x:v>净现金流</x:v>
      </x:c>
      <x:c r="F31" s="23" t="str">
        <x:v>折现系数</x:v>
      </x:c>
      <x:c r="G31" s="23" t="str">
        <x:v>折现现金流</x:v>
      </x:c>
      <x:c r="H31" s="23" t="str">
        <x:v>累计现金流</x:v>
      </x:c>
      <x:c r="I31" s="68"/>
      <x:c r="J31" s="68"/>
      <x:c r="K31" s="68"/>
      <x:c r="L31" s="68"/>
      <x:c r="M31" s="68"/>
      <x:c r="N31" s="68"/>
      <x:c r="O31" s="68"/>
      <x:c r="P31" s="68"/>
      <x:c r="Q31" s="68"/>
    </x:row>
    <x:row r="32" ht="22" customHeight="1">
      <x:c r="A32" s="46" t="n">
        <x:v>0</x:v>
      </x:c>
      <x:c r="B32" s="36" t="n">
        <x:f>IF(A32=0,-'2_输入参数'!B28,0)</x:f>
        <x:v>-650</x:v>
      </x:c>
      <x:c r="C32" s="36" t="n">
        <x:f>IF(A32=0,0,$G$7)</x:f>
        <x:v>0</x:v>
      </x:c>
      <x:c r="D32" s="36" t="n">
        <x:f>IF(OR(A32='2_输入参数'!B37,A32='2_输入参数'!B38),-'2_输入参数'!B36,0)</x:f>
        <x:v>0</x:v>
      </x:c>
      <x:c r="E32" s="36" t="n">
        <x:f>SUM(B32:D32)</x:f>
        <x:v>-650</x:v>
      </x:c>
      <x:c r="F32" s="47" t="n">
        <x:f>1/(1+'2_输入参数'!B34)^A32</x:f>
        <x:v>1</x:v>
      </x:c>
      <x:c r="G32" s="36" t="n">
        <x:f>E32*F32</x:f>
        <x:v>-650</x:v>
      </x:c>
      <x:c r="H32" s="36" t="n">
        <x:f>E32</x:f>
        <x:v>-650</x:v>
      </x:c>
      <x:c r="I32" s="68"/>
      <x:c r="J32" s="68"/>
      <x:c r="K32" s="68"/>
      <x:c r="L32" s="68"/>
      <x:c r="M32" s="68"/>
      <x:c r="N32" s="68"/>
      <x:c r="O32" s="68"/>
      <x:c r="P32" s="68"/>
      <x:c r="Q32" s="68"/>
    </x:row>
    <x:row r="33" ht="22" customHeight="1">
      <x:c r="A33" s="46" t="n">
        <x:v>1</x:v>
      </x:c>
      <x:c r="B33" s="36" t="n">
        <x:f>IF(A33=0,-'2_输入参数'!B28,0)</x:f>
        <x:v>0</x:v>
      </x:c>
      <x:c r="C33" s="36" t="n">
        <x:f>IF(A33=0,0,$G$7)</x:f>
        <x:v>154.91048307368433</x:v>
      </x:c>
      <x:c r="D33" s="36" t="n">
        <x:f>IF(OR(A33='2_输入参数'!B37,A33='2_输入参数'!B38),-'2_输入参数'!B36,0)</x:f>
        <x:v>0</x:v>
      </x:c>
      <x:c r="E33" s="36" t="n">
        <x:f>SUM(B33:D33)</x:f>
        <x:v>154.91048307368433</x:v>
      </x:c>
      <x:c r="F33" s="47" t="n">
        <x:f>1/(1+'2_输入参数'!B34)^A33</x:f>
        <x:v>0.9259259259259258</x:v>
      </x:c>
      <x:c r="G33" s="36" t="n">
        <x:f>E33*F33</x:f>
        <x:v>143.4356324756336</x:v>
      </x:c>
      <x:c r="H33" s="36" t="n">
        <x:f>H32+E33</x:f>
        <x:v>-495.0895169263157</x:v>
      </x:c>
      <x:c r="I33" s="68"/>
      <x:c r="J33" s="68"/>
      <x:c r="K33" s="68"/>
      <x:c r="L33" s="68"/>
      <x:c r="M33" s="68"/>
      <x:c r="N33" s="68"/>
      <x:c r="O33" s="68"/>
      <x:c r="P33" s="68"/>
      <x:c r="Q33" s="68"/>
    </x:row>
    <x:row r="34" ht="22" customHeight="1">
      <x:c r="A34" s="46" t="n">
        <x:v>2</x:v>
      </x:c>
      <x:c r="B34" s="36" t="n">
        <x:f>IF(A34=0,-'2_输入参数'!B28,0)</x:f>
        <x:v>0</x:v>
      </x:c>
      <x:c r="C34" s="36" t="n">
        <x:f>IF(A34=0,0,$G$7)</x:f>
        <x:v>154.91048307368433</x:v>
      </x:c>
      <x:c r="D34" s="36" t="n">
        <x:f>IF(OR(A34='2_输入参数'!B37,A34='2_输入参数'!B38),-'2_输入参数'!B36,0)</x:f>
        <x:v>0</x:v>
      </x:c>
      <x:c r="E34" s="36" t="n">
        <x:f>SUM(B34:D34)</x:f>
        <x:v>154.91048307368433</x:v>
      </x:c>
      <x:c r="F34" s="47" t="n">
        <x:f>1/(1+'2_输入参数'!B34)^A34</x:f>
        <x:v>0.8573388203017832</x:v>
      </x:c>
      <x:c r="G34" s="36" t="n">
        <x:f>E34*F34</x:f>
        <x:v>132.81077081077188</x:v>
      </x:c>
      <x:c r="H34" s="36" t="n">
        <x:f>H33+E34</x:f>
        <x:v>-340.1790338526314</x:v>
      </x:c>
      <x:c r="I34" s="68"/>
      <x:c r="J34" s="68"/>
      <x:c r="K34" s="68"/>
      <x:c r="L34" s="68"/>
      <x:c r="M34" s="68"/>
      <x:c r="N34" s="68"/>
      <x:c r="O34" s="68"/>
      <x:c r="P34" s="68"/>
      <x:c r="Q34" s="68"/>
    </x:row>
    <x:row r="35" ht="22" customHeight="1">
      <x:c r="A35" s="46" t="n">
        <x:v>3</x:v>
      </x:c>
      <x:c r="B35" s="36" t="n">
        <x:f>IF(A35=0,-'2_输入参数'!B28,0)</x:f>
        <x:v>0</x:v>
      </x:c>
      <x:c r="C35" s="36" t="n">
        <x:f>IF(A35=0,0,$G$7)</x:f>
        <x:v>154.91048307368433</x:v>
      </x:c>
      <x:c r="D35" s="36" t="n">
        <x:f>IF(OR(A35='2_输入参数'!B37,A35='2_输入参数'!B38),-'2_输入参数'!B36,0)</x:f>
        <x:v>0</x:v>
      </x:c>
      <x:c r="E35" s="36" t="n">
        <x:f>SUM(B35:D35)</x:f>
        <x:v>154.91048307368433</x:v>
      </x:c>
      <x:c r="F35" s="47" t="n">
        <x:f>1/(1+'2_输入参数'!B34)^A35</x:f>
        <x:v>0.7938322410201696</x:v>
      </x:c>
      <x:c r="G35" s="36" t="n">
        <x:f>E35*F35</x:f>
        <x:v>122.97293593589988</x:v>
      </x:c>
      <x:c r="H35" s="36" t="n">
        <x:f>H34+E35</x:f>
        <x:v>-185.26855077894706</x:v>
      </x:c>
      <x:c r="I35" s="68"/>
      <x:c r="J35" s="68"/>
      <x:c r="K35" s="68"/>
      <x:c r="L35" s="68"/>
      <x:c r="M35" s="68"/>
      <x:c r="N35" s="68"/>
      <x:c r="O35" s="68"/>
      <x:c r="P35" s="68"/>
      <x:c r="Q35" s="68"/>
    </x:row>
    <x:row r="36" ht="22" customHeight="1">
      <x:c r="A36" s="46" t="n">
        <x:v>4</x:v>
      </x:c>
      <x:c r="B36" s="36" t="n">
        <x:f>IF(A36=0,-'2_输入参数'!B28,0)</x:f>
        <x:v>0</x:v>
      </x:c>
      <x:c r="C36" s="36" t="n">
        <x:f>IF(A36=0,0,$G$7)</x:f>
        <x:v>154.91048307368433</x:v>
      </x:c>
      <x:c r="D36" s="36" t="n">
        <x:f>IF(OR(A36='2_输入参数'!B37,A36='2_输入参数'!B38),-'2_输入参数'!B36,0)</x:f>
        <x:v>0</x:v>
      </x:c>
      <x:c r="E36" s="36" t="n">
        <x:f>SUM(B36:D36)</x:f>
        <x:v>154.91048307368433</x:v>
      </x:c>
      <x:c r="F36" s="47" t="n">
        <x:f>1/(1+'2_输入参数'!B34)^A36</x:f>
        <x:v>0.7350298527964533</x:v>
      </x:c>
      <x:c r="G36" s="36" t="n">
        <x:f>E36*F36</x:f>
        <x:v>113.86382957027766</x:v>
      </x:c>
      <x:c r="H36" s="36" t="n">
        <x:f>H35+E36</x:f>
        <x:v>-30.358067705262727</x:v>
      </x:c>
      <x:c r="I36" s="68"/>
      <x:c r="J36" s="68"/>
      <x:c r="K36" s="68"/>
      <x:c r="L36" s="68"/>
      <x:c r="M36" s="68"/>
      <x:c r="N36" s="68"/>
      <x:c r="O36" s="68"/>
      <x:c r="P36" s="68"/>
      <x:c r="Q36" s="68"/>
    </x:row>
    <x:row r="37" ht="22" customHeight="1">
      <x:c r="A37" s="46" t="n">
        <x:v>5</x:v>
      </x:c>
      <x:c r="B37" s="36" t="n">
        <x:f>IF(A37=0,-'2_输入参数'!B28,0)</x:f>
        <x:v>0</x:v>
      </x:c>
      <x:c r="C37" s="36" t="n">
        <x:f>IF(A37=0,0,$G$7)</x:f>
        <x:v>154.91048307368433</x:v>
      </x:c>
      <x:c r="D37" s="36" t="n">
        <x:f>IF(OR(A37='2_输入参数'!B37,A37='2_输入参数'!B38),-'2_输入参数'!B36,0)</x:f>
        <x:v>0</x:v>
      </x:c>
      <x:c r="E37" s="36" t="n">
        <x:f>SUM(B37:D37)</x:f>
        <x:v>154.91048307368433</x:v>
      </x:c>
      <x:c r="F37" s="47" t="n">
        <x:f>1/(1+'2_输入参数'!B34)^A37</x:f>
        <x:v>0.6805831970337529</x:v>
      </x:c>
      <x:c r="G37" s="36" t="n">
        <x:f>E37*F37</x:f>
        <x:v>105.42947182433115</x:v>
      </x:c>
      <x:c r="H37" s="36" t="n">
        <x:f>H36+E37</x:f>
        <x:v>124.5524153684216</x:v>
      </x:c>
      <x:c r="I37" s="68"/>
      <x:c r="J37" s="68"/>
      <x:c r="K37" s="68"/>
      <x:c r="L37" s="68"/>
      <x:c r="M37" s="68"/>
      <x:c r="N37" s="68"/>
      <x:c r="O37" s="68"/>
      <x:c r="P37" s="68"/>
      <x:c r="Q37" s="68"/>
    </x:row>
    <x:row r="38" ht="22" customHeight="1">
      <x:c r="A38" s="46" t="n">
        <x:v>6</x:v>
      </x:c>
      <x:c r="B38" s="36" t="n">
        <x:f>IF(A38=0,-'2_输入参数'!B28,0)</x:f>
        <x:v>0</x:v>
      </x:c>
      <x:c r="C38" s="36" t="n">
        <x:f>IF(A38=0,0,$G$7)</x:f>
        <x:v>154.91048307368433</x:v>
      </x:c>
      <x:c r="D38" s="36" t="n">
        <x:f>IF(OR(A38='2_输入参数'!B37,A38='2_输入参数'!B38),-'2_输入参数'!B36,0)</x:f>
        <x:v>0</x:v>
      </x:c>
      <x:c r="E38" s="36" t="n">
        <x:f>SUM(B38:D38)</x:f>
        <x:v>154.91048307368433</x:v>
      </x:c>
      <x:c r="F38" s="47" t="n">
        <x:f>1/(1+'2_输入参数'!B34)^A38</x:f>
        <x:v>0.6301696268831045</x:v>
      </x:c>
      <x:c r="G38" s="36" t="n">
        <x:f>E38*F38</x:f>
        <x:v>97.61988131882514</x:v>
      </x:c>
      <x:c r="H38" s="36" t="n">
        <x:f>H37+E38</x:f>
        <x:v>279.46289844210594</x:v>
      </x:c>
      <x:c r="I38" s="68"/>
      <x:c r="J38" s="68"/>
      <x:c r="K38" s="68"/>
      <x:c r="L38" s="68"/>
      <x:c r="M38" s="68"/>
      <x:c r="N38" s="68"/>
      <x:c r="O38" s="68"/>
      <x:c r="P38" s="68"/>
      <x:c r="Q38" s="68"/>
    </x:row>
    <x:row r="39" ht="22" customHeight="1">
      <x:c r="A39" s="46" t="n">
        <x:v>7</x:v>
      </x:c>
      <x:c r="B39" s="36" t="n">
        <x:f>IF(A39=0,-'2_输入参数'!B28,0)</x:f>
        <x:v>0</x:v>
      </x:c>
      <x:c r="C39" s="36" t="n">
        <x:f>IF(A39=0,0,$G$7)</x:f>
        <x:v>154.91048307368433</x:v>
      </x:c>
      <x:c r="D39" s="36" t="n">
        <x:f>IF(OR(A39='2_输入参数'!B37,A39='2_输入参数'!B38),-'2_输入参数'!B36,0)</x:f>
        <x:v>0</x:v>
      </x:c>
      <x:c r="E39" s="36" t="n">
        <x:f>SUM(B39:D39)</x:f>
        <x:v>154.91048307368433</x:v>
      </x:c>
      <x:c r="F39" s="47" t="n">
        <x:f>1/(1+'2_输入参数'!B34)^A39</x:f>
        <x:v>0.5834903952621338</x:v>
      </x:c>
      <x:c r="G39" s="36" t="n">
        <x:f>E39*F39</x:f>
        <x:v>90.38877899891216</x:v>
      </x:c>
      <x:c r="H39" s="36" t="n">
        <x:f>H38+E39</x:f>
        <x:v>434.37338151579024</x:v>
      </x:c>
      <x:c r="I39" s="68"/>
      <x:c r="J39" s="68"/>
      <x:c r="K39" s="68"/>
      <x:c r="L39" s="68"/>
      <x:c r="M39" s="68"/>
      <x:c r="N39" s="68"/>
      <x:c r="O39" s="68"/>
      <x:c r="P39" s="68"/>
      <x:c r="Q39" s="68"/>
    </x:row>
    <x:row r="40" ht="22" customHeight="1">
      <x:c r="A40" s="46" t="n">
        <x:v>8</x:v>
      </x:c>
      <x:c r="B40" s="36" t="n">
        <x:f>IF(A40=0,-'2_输入参数'!B28,0)</x:f>
        <x:v>0</x:v>
      </x:c>
      <x:c r="C40" s="36" t="n">
        <x:f>IF(A40=0,0,$G$7)</x:f>
        <x:v>154.91048307368433</x:v>
      </x:c>
      <x:c r="D40" s="36" t="n">
        <x:f>IF(OR(A40='2_输入参数'!B37,A40='2_输入参数'!B38),-'2_输入参数'!B36,0)</x:f>
        <x:v>-112.5</x:v>
      </x:c>
      <x:c r="E40" s="36" t="n">
        <x:f>SUM(B40:D40)</x:f>
        <x:v>42.41048307368433</x:v>
      </x:c>
      <x:c r="F40" s="47" t="n">
        <x:f>1/(1+'2_输入参数'!B34)^A40</x:f>
        <x:v>0.5402688845019757</x:v>
      </x:c>
      <x:c r="G40" s="36" t="n">
        <x:f>E40*F40</x:f>
        <x:v>22.91306438140936</x:v>
      </x:c>
      <x:c r="H40" s="36" t="n">
        <x:f>H39+E40</x:f>
        <x:v>476.78386458947455</x:v>
      </x:c>
      <x:c r="I40" s="68"/>
      <x:c r="J40" s="68"/>
      <x:c r="K40" s="68"/>
      <x:c r="L40" s="68"/>
      <x:c r="M40" s="68"/>
      <x:c r="N40" s="68"/>
      <x:c r="O40" s="68"/>
      <x:c r="P40" s="68"/>
      <x:c r="Q40" s="68"/>
    </x:row>
    <x:row r="41" ht="22" customHeight="1">
      <x:c r="A41" s="46" t="n">
        <x:v>9</x:v>
      </x:c>
      <x:c r="B41" s="36" t="n">
        <x:f>IF(A41=0,-'2_输入参数'!B28,0)</x:f>
        <x:v>0</x:v>
      </x:c>
      <x:c r="C41" s="36" t="n">
        <x:f>IF(A41=0,0,$G$7)</x:f>
        <x:v>154.91048307368433</x:v>
      </x:c>
      <x:c r="D41" s="36" t="n">
        <x:f>IF(OR(A41='2_输入参数'!B37,A41='2_输入参数'!B38),-'2_输入参数'!B36,0)</x:f>
        <x:v>0</x:v>
      </x:c>
      <x:c r="E41" s="36" t="n">
        <x:f>SUM(B41:D41)</x:f>
        <x:v>154.91048307368433</x:v>
      </x:c>
      <x:c r="F41" s="47" t="n">
        <x:f>1/(1+'2_输入参数'!B34)^A41</x:f>
        <x:v>0.5002489671314589</x:v>
      </x:c>
      <x:c r="G41" s="36" t="n">
        <x:f>E41*F41</x:f>
        <x:v>77.49380915544594</x:v>
      </x:c>
      <x:c r="H41" s="36" t="n">
        <x:f>H40+E41</x:f>
        <x:v>631.6943476631589</x:v>
      </x:c>
      <x:c r="I41" s="68"/>
      <x:c r="J41" s="68"/>
      <x:c r="K41" s="68"/>
      <x:c r="L41" s="68"/>
      <x:c r="M41" s="68"/>
      <x:c r="N41" s="68"/>
      <x:c r="O41" s="68"/>
      <x:c r="P41" s="68"/>
      <x:c r="Q41" s="68"/>
    </x:row>
    <x:row r="42" ht="22" customHeight="1">
      <x:c r="A42" s="46" t="n">
        <x:v>10</x:v>
      </x:c>
      <x:c r="B42" s="36" t="n">
        <x:f>IF(A42=0,-'2_输入参数'!B28,0)</x:f>
        <x:v>0</x:v>
      </x:c>
      <x:c r="C42" s="36" t="n">
        <x:f>IF(A42=0,0,$G$7)</x:f>
        <x:v>154.91048307368433</x:v>
      </x:c>
      <x:c r="D42" s="36" t="n">
        <x:f>IF(OR(A42='2_输入参数'!B37,A42='2_输入参数'!B38),-'2_输入参数'!B36,0)</x:f>
        <x:v>0</x:v>
      </x:c>
      <x:c r="E42" s="36" t="n">
        <x:f>SUM(B42:D42)</x:f>
        <x:v>154.91048307368433</x:v>
      </x:c>
      <x:c r="F42" s="47" t="n">
        <x:f>1/(1+'2_输入参数'!B34)^A42</x:f>
        <x:v>0.46319348808468414</x:v>
      </x:c>
      <x:c r="G42" s="36" t="n">
        <x:f>E42*F42</x:f>
        <x:v>71.75352699578326</x:v>
      </x:c>
      <x:c r="H42" s="36" t="n">
        <x:f>H41+E42</x:f>
        <x:v>786.6048307368432</x:v>
      </x:c>
      <x:c r="I42" s="68"/>
      <x:c r="J42" s="68"/>
      <x:c r="K42" s="68"/>
      <x:c r="L42" s="68"/>
      <x:c r="M42" s="68"/>
      <x:c r="N42" s="68"/>
      <x:c r="O42" s="68"/>
      <x:c r="P42" s="68"/>
      <x:c r="Q42" s="68"/>
    </x:row>
    <x:row r="43" ht="22" customHeight="1">
      <x:c r="A43" s="46" t="n">
        <x:v>11</x:v>
      </x:c>
      <x:c r="B43" s="36" t="n">
        <x:f>IF(A43=0,-'2_输入参数'!B28,0)</x:f>
        <x:v>0</x:v>
      </x:c>
      <x:c r="C43" s="36" t="n">
        <x:f>IF(A43=0,0,$G$7)</x:f>
        <x:v>154.91048307368433</x:v>
      </x:c>
      <x:c r="D43" s="36" t="n">
        <x:f>IF(OR(A43='2_输入参数'!B37,A43='2_输入参数'!B38),-'2_输入参数'!B36,0)</x:f>
        <x:v>0</x:v>
      </x:c>
      <x:c r="E43" s="36" t="n">
        <x:f>SUM(B43:D43)</x:f>
        <x:v>154.91048307368433</x:v>
      </x:c>
      <x:c r="F43" s="47" t="n">
        <x:f>1/(1+'2_输入参数'!B34)^A43</x:f>
        <x:v>0.4288828593376705</x:v>
      </x:c>
      <x:c r="G43" s="36" t="n">
        <x:f>E43*F43</x:f>
        <x:v>66.43845092202154</x:v>
      </x:c>
      <x:c r="H43" s="36" t="n">
        <x:f>H42+E43</x:f>
        <x:v>941.5153138105275</x:v>
      </x:c>
      <x:c r="I43" s="68"/>
      <x:c r="J43" s="68"/>
      <x:c r="K43" s="68"/>
      <x:c r="L43" s="68"/>
      <x:c r="M43" s="68"/>
      <x:c r="N43" s="68"/>
      <x:c r="O43" s="68"/>
      <x:c r="P43" s="68"/>
      <x:c r="Q43" s="68"/>
    </x:row>
    <x:row r="44" ht="22" customHeight="1">
      <x:c r="A44" s="46" t="n">
        <x:v>12</x:v>
      </x:c>
      <x:c r="B44" s="36" t="n">
        <x:f>IF(A44=0,-'2_输入参数'!B28,0)</x:f>
        <x:v>0</x:v>
      </x:c>
      <x:c r="C44" s="36" t="n">
        <x:f>IF(A44=0,0,$G$7)</x:f>
        <x:v>154.91048307368433</x:v>
      </x:c>
      <x:c r="D44" s="36" t="n">
        <x:f>IF(OR(A44='2_输入参数'!B37,A44='2_输入参数'!B38),-'2_输入参数'!B36,0)</x:f>
        <x:v>0</x:v>
      </x:c>
      <x:c r="E44" s="36" t="n">
        <x:f>SUM(B44:D44)</x:f>
        <x:v>154.91048307368433</x:v>
      </x:c>
      <x:c r="F44" s="47" t="n">
        <x:f>1/(1+'2_输入参数'!B34)^A44</x:f>
        <x:v>0.3971137586459912</x:v>
      </x:c>
      <x:c r="G44" s="36" t="n">
        <x:f>E44*F44</x:f>
        <x:v>61.51708418705698</x:v>
      </x:c>
      <x:c r="H44" s="36" t="n">
        <x:f>H43+E44</x:f>
        <x:v>1096.4257968842119</x:v>
      </x:c>
      <x:c r="I44" s="68"/>
      <x:c r="J44" s="68"/>
      <x:c r="K44" s="68"/>
      <x:c r="L44" s="68"/>
      <x:c r="M44" s="68"/>
      <x:c r="N44" s="68"/>
      <x:c r="O44" s="68"/>
      <x:c r="P44" s="68"/>
      <x:c r="Q44" s="68"/>
    </x:row>
    <x:row r="45" ht="22" customHeight="1">
      <x:c r="A45" s="46" t="n">
        <x:v>13</x:v>
      </x:c>
      <x:c r="B45" s="36" t="n">
        <x:f>IF(A45=0,-'2_输入参数'!B28,0)</x:f>
        <x:v>0</x:v>
      </x:c>
      <x:c r="C45" s="36" t="n">
        <x:f>IF(A45=0,0,$G$7)</x:f>
        <x:v>154.91048307368433</x:v>
      </x:c>
      <x:c r="D45" s="36" t="n">
        <x:f>IF(OR(A45='2_输入参数'!B37,A45='2_输入参数'!B38),-'2_输入参数'!B36,0)</x:f>
        <x:v>0</x:v>
      </x:c>
      <x:c r="E45" s="36" t="n">
        <x:f>SUM(B45:D45)</x:f>
        <x:v>154.91048307368433</x:v>
      </x:c>
      <x:c r="F45" s="47" t="n">
        <x:f>1/(1+'2_输入参数'!B34)^A45</x:f>
        <x:v>0.367697924672214</x:v>
      </x:c>
      <x:c r="G45" s="36" t="n">
        <x:f>E45*F45</x:f>
        <x:v>56.96026313616387</x:v>
      </x:c>
      <x:c r="H45" s="36" t="n">
        <x:f>H44+E45</x:f>
        <x:v>1251.3362799578963</x:v>
      </x:c>
      <x:c r="I45" s="68"/>
      <x:c r="J45" s="68"/>
      <x:c r="K45" s="68"/>
      <x:c r="L45" s="68"/>
      <x:c r="M45" s="68"/>
      <x:c r="N45" s="68"/>
      <x:c r="O45" s="68"/>
      <x:c r="P45" s="68"/>
      <x:c r="Q45" s="68"/>
    </x:row>
    <x:row r="46" ht="22" customHeight="1">
      <x:c r="A46" s="46" t="n">
        <x:v>14</x:v>
      </x:c>
      <x:c r="B46" s="36" t="n">
        <x:f>IF(A46=0,-'2_输入参数'!B28,0)</x:f>
        <x:v>0</x:v>
      </x:c>
      <x:c r="C46" s="36" t="n">
        <x:f>IF(A46=0,0,$G$7)</x:f>
        <x:v>154.91048307368433</x:v>
      </x:c>
      <x:c r="D46" s="36" t="n">
        <x:f>IF(OR(A46='2_输入参数'!B37,A46='2_输入参数'!B38),-'2_输入参数'!B36,0)</x:f>
        <x:v>0</x:v>
      </x:c>
      <x:c r="E46" s="36" t="n">
        <x:f>SUM(B46:D46)</x:f>
        <x:v>154.91048307368433</x:v>
      </x:c>
      <x:c r="F46" s="47" t="n">
        <x:f>1/(1+'2_输入参数'!B34)^A46</x:f>
        <x:v>0.34046104136316113</x:v>
      </x:c>
      <x:c r="G46" s="36" t="n">
        <x:f>E46*F46</x:f>
        <x:v>52.740984385336915</x:v>
      </x:c>
      <x:c r="H46" s="36" t="n">
        <x:f>H45+E46</x:f>
        <x:v>1406.2467630315807</x:v>
      </x:c>
      <x:c r="I46" s="68"/>
      <x:c r="J46" s="68"/>
      <x:c r="K46" s="68"/>
      <x:c r="L46" s="68"/>
      <x:c r="M46" s="68"/>
      <x:c r="N46" s="68"/>
      <x:c r="O46" s="68"/>
      <x:c r="P46" s="68"/>
      <x:c r="Q46" s="68"/>
    </x:row>
    <x:row r="47" ht="22" customHeight="1">
      <x:c r="A47" s="46" t="n">
        <x:v>15</x:v>
      </x:c>
      <x:c r="B47" s="36" t="n">
        <x:f>IF(A47=0,-'2_输入参数'!B28,0)</x:f>
        <x:v>0</x:v>
      </x:c>
      <x:c r="C47" s="36" t="n">
        <x:f>IF(A47=0,0,$G$7)</x:f>
        <x:v>154.91048307368433</x:v>
      </x:c>
      <x:c r="D47" s="36" t="n">
        <x:f>IF(OR(A47='2_输入参数'!B37,A47='2_输入参数'!B38),-'2_输入参数'!B36,0)</x:f>
        <x:v>0</x:v>
      </x:c>
      <x:c r="E47" s="36" t="n">
        <x:f>SUM(B47:D47)</x:f>
        <x:v>154.91048307368433</x:v>
      </x:c>
      <x:c r="F47" s="47" t="n">
        <x:f>1/(1+'2_输入参数'!B34)^A47</x:f>
        <x:v>0.31524170496588994</x:v>
      </x:c>
      <x:c r="G47" s="36" t="n">
        <x:f>E47*F47</x:f>
        <x:v>48.83424480123788</x:v>
      </x:c>
      <x:c r="H47" s="36" t="n">
        <x:f>H46+E47</x:f>
        <x:v>1561.1572461052651</x:v>
      </x:c>
      <x:c r="I47" s="68"/>
      <x:c r="J47" s="68"/>
      <x:c r="K47" s="68"/>
      <x:c r="L47" s="68"/>
      <x:c r="M47" s="68"/>
      <x:c r="N47" s="68"/>
      <x:c r="O47" s="68"/>
      <x:c r="P47" s="68"/>
      <x:c r="Q47" s="68"/>
    </x:row>
    <x:row r="48" ht="22" customHeight="1">
      <x:c r="A48" s="46" t="n">
        <x:v>16</x:v>
      </x:c>
      <x:c r="B48" s="36" t="n">
        <x:f>IF(A48=0,-'2_输入参数'!B28,0)</x:f>
        <x:v>0</x:v>
      </x:c>
      <x:c r="C48" s="36" t="n">
        <x:f>IF(A48=0,0,$G$7)</x:f>
        <x:v>154.91048307368433</x:v>
      </x:c>
      <x:c r="D48" s="36" t="n">
        <x:f>IF(OR(A48='2_输入参数'!B37,A48='2_输入参数'!B38),-'2_输入参数'!B36,0)</x:f>
        <x:v>-112.5</x:v>
      </x:c>
      <x:c r="E48" s="36" t="n">
        <x:f>SUM(B48:D48)</x:f>
        <x:v>42.41048307368433</x:v>
      </x:c>
      <x:c r="F48" s="47" t="n">
        <x:f>1/(1+'2_输入参数'!B34)^A48</x:f>
        <x:v>0.29189046756100917</x:v>
      </x:c>
      <x:c r="G48" s="36" t="n">
        <x:f>E48*F48</x:f>
        <x:v>12.379215733865985</x:v>
      </x:c>
      <x:c r="H48" s="36" t="n">
        <x:f>H47+E48</x:f>
        <x:v>1603.5677291789495</x:v>
      </x:c>
      <x:c r="I48" s="68"/>
      <x:c r="J48" s="68"/>
      <x:c r="K48" s="68"/>
      <x:c r="L48" s="68"/>
      <x:c r="M48" s="68"/>
      <x:c r="N48" s="68"/>
      <x:c r="O48" s="68"/>
      <x:c r="P48" s="68"/>
      <x:c r="Q48" s="68"/>
    </x:row>
    <x:row r="49" ht="22" customHeight="1">
      <x:c r="A49" s="46" t="n">
        <x:v>17</x:v>
      </x:c>
      <x:c r="B49" s="36" t="n">
        <x:f>IF(A49=0,-'2_输入参数'!B28,0)</x:f>
        <x:v>0</x:v>
      </x:c>
      <x:c r="C49" s="36" t="n">
        <x:f>IF(A49=0,0,$G$7)</x:f>
        <x:v>154.91048307368433</x:v>
      </x:c>
      <x:c r="D49" s="36" t="n">
        <x:f>IF(OR(A49='2_输入参数'!B37,A49='2_输入参数'!B38),-'2_输入参数'!B36,0)</x:f>
        <x:v>0</x:v>
      </x:c>
      <x:c r="E49" s="36" t="n">
        <x:f>SUM(B49:D49)</x:f>
        <x:v>154.91048307368433</x:v>
      </x:c>
      <x:c r="F49" s="47" t="n">
        <x:f>1/(1+'2_输入参数'!B34)^A49</x:f>
        <x:v>0.2702689514453788</x:v>
      </x:c>
      <x:c r="G49" s="36" t="n">
        <x:f>E49*F49</x:f>
        <x:v>41.86749382822177</x:v>
      </x:c>
      <x:c r="H49" s="36" t="n">
        <x:f>H48+E49</x:f>
        <x:v>1758.478212252634</x:v>
      </x:c>
      <x:c r="I49" s="68"/>
      <x:c r="J49" s="68"/>
      <x:c r="K49" s="68"/>
      <x:c r="L49" s="68"/>
      <x:c r="M49" s="68"/>
      <x:c r="N49" s="68"/>
      <x:c r="O49" s="68"/>
      <x:c r="P49" s="68"/>
      <x:c r="Q49" s="68"/>
    </x:row>
    <x:row r="50" ht="22" customHeight="1">
      <x:c r="A50" s="46" t="n">
        <x:v>18</x:v>
      </x:c>
      <x:c r="B50" s="36" t="n">
        <x:f>IF(A50=0,-'2_输入参数'!B28,0)</x:f>
        <x:v>0</x:v>
      </x:c>
      <x:c r="C50" s="36" t="n">
        <x:f>IF(A50=0,0,$G$7)</x:f>
        <x:v>154.91048307368433</x:v>
      </x:c>
      <x:c r="D50" s="36" t="n">
        <x:f>IF(OR(A50='2_输入参数'!B37,A50='2_输入参数'!B38),-'2_输入参数'!B36,0)</x:f>
        <x:v>0</x:v>
      </x:c>
      <x:c r="E50" s="36" t="n">
        <x:f>SUM(B50:D50)</x:f>
        <x:v>154.91048307368433</x:v>
      </x:c>
      <x:c r="F50" s="47" t="n">
        <x:f>1/(1+'2_输入参数'!B34)^A50</x:f>
        <x:v>0.2502490291160915</x:v>
      </x:c>
      <x:c r="G50" s="36" t="n">
        <x:f>E50*F50</x:f>
        <x:v>38.76619798909423</x:v>
      </x:c>
      <x:c r="H50" s="36" t="n">
        <x:f>H49+E50</x:f>
        <x:v>1913.3886953263184</x:v>
      </x:c>
      <x:c r="I50" s="68"/>
      <x:c r="J50" s="68"/>
      <x:c r="K50" s="68"/>
      <x:c r="L50" s="68"/>
      <x:c r="M50" s="68"/>
      <x:c r="N50" s="68"/>
      <x:c r="O50" s="68"/>
      <x:c r="P50" s="68"/>
      <x:c r="Q50" s="68"/>
    </x:row>
    <x:row r="51" ht="22" customHeight="1">
      <x:c r="A51" s="46" t="n">
        <x:v>19</x:v>
      </x:c>
      <x:c r="B51" s="36" t="n">
        <x:f>IF(A51=0,-'2_输入参数'!B28,0)</x:f>
        <x:v>0</x:v>
      </x:c>
      <x:c r="C51" s="36" t="n">
        <x:f>IF(A51=0,0,$G$7)</x:f>
        <x:v>154.91048307368433</x:v>
      </x:c>
      <x:c r="D51" s="36" t="n">
        <x:f>IF(OR(A51='2_输入参数'!B37,A51='2_输入参数'!B38),-'2_输入参数'!B36,0)</x:f>
        <x:v>0</x:v>
      </x:c>
      <x:c r="E51" s="36" t="n">
        <x:f>SUM(B51:D51)</x:f>
        <x:v>154.91048307368433</x:v>
      </x:c>
      <x:c r="F51" s="47" t="n">
        <x:f>1/(1+'2_输入参数'!B34)^A51</x:f>
        <x:v>0.231712063996381</x:v>
      </x:c>
      <x:c r="G51" s="36" t="n">
        <x:f>E51*F51</x:f>
        <x:v>35.89462776767984</x:v>
      </x:c>
      <x:c r="H51" s="36" t="n">
        <x:f>H50+E51</x:f>
        <x:v>2068.299178400003</x:v>
      </x:c>
      <x:c r="I51" s="68"/>
      <x:c r="J51" s="68"/>
      <x:c r="K51" s="68"/>
      <x:c r="L51" s="68"/>
      <x:c r="M51" s="68"/>
      <x:c r="N51" s="68"/>
      <x:c r="O51" s="68"/>
      <x:c r="P51" s="68"/>
      <x:c r="Q51" s="68"/>
    </x:row>
    <x:row r="52" ht="22" customHeight="1">
      <x:c r="A52" s="46" t="n">
        <x:v>20</x:v>
      </x:c>
      <x:c r="B52" s="36" t="n">
        <x:f>IF(A52=0,-'2_输入参数'!B28,0)</x:f>
        <x:v>0</x:v>
      </x:c>
      <x:c r="C52" s="36" t="n">
        <x:f>IF(A52=0,0,$G$7)</x:f>
        <x:v>154.91048307368433</x:v>
      </x:c>
      <x:c r="D52" s="36" t="n">
        <x:f>IF(OR(A52='2_输入参数'!B37,A52='2_输入参数'!B38),-'2_输入参数'!B36,0)</x:f>
        <x:v>0</x:v>
      </x:c>
      <x:c r="E52" s="36" t="n">
        <x:f>SUM(B52:D52)</x:f>
        <x:v>154.91048307368433</x:v>
      </x:c>
      <x:c r="F52" s="47" t="n">
        <x:f>1/(1+'2_输入参数'!B34)^A52</x:f>
        <x:v>0.21454820740405645</x:v>
      </x:c>
      <x:c r="G52" s="36" t="n">
        <x:f>E52*F52</x:f>
        <x:v>33.2357664515554</x:v>
      </x:c>
      <x:c r="H52" s="36" t="n">
        <x:f>H51+E52</x:f>
        <x:v>2223.209661473687</x:v>
      </x:c>
      <x:c r="I52" s="68"/>
      <x:c r="J52" s="68"/>
      <x:c r="K52" s="68"/>
      <x:c r="L52" s="68"/>
      <x:c r="M52" s="68"/>
      <x:c r="N52" s="68"/>
      <x:c r="O52" s="68"/>
      <x:c r="P52" s="68"/>
      <x:c r="Q52" s="68"/>
    </x:row>
  </x:sheetData>
  <x:mergeCells>
    <x:mergeCell ref="A1:Q1"/>
    <x:mergeCell ref="A2:Q2"/>
    <x:mergeCell ref="A4:D4"/>
    <x:mergeCell ref="F4:I4"/>
    <x:mergeCell ref="A15:D15"/>
    <x:mergeCell ref="F16:I16"/>
    <x:mergeCell ref="A30:H30"/>
  </x:mergeCells>
  <x:conditionalFormatting sqref="E32:E52">
    <x:cfRule type="cellIs" dxfId="2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119932eddcc4b80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4" hidden="0" customWidth="1"/>
    <x:col min="4" max="4" width="28" hidden="0" customWidth="1"/>
    <x:col min="5" max="5" width="3" hidden="0" customWidth="1"/>
    <x:col min="6" max="6" width="14" hidden="0" customWidth="1"/>
    <x:col min="7" max="7" width="17" hidden="0" customWidth="1"/>
    <x:col min="8" max="8" width="14" hidden="0" customWidth="1"/>
    <x:col min="9" max="9" width="28" hidden="0" customWidth="1"/>
    <x:col min="10" max="10" width="3" hidden="0" customWidth="1"/>
    <x:col min="11" max="11" width="18" hidden="0" customWidth="1"/>
    <x:col min="12" max="12" width="17" hidden="0" customWidth="1"/>
    <x:col min="13" max="13" width="14" hidden="0" customWidth="1"/>
    <x:col min="14" max="14" width="28" hidden="0" customWidth="1"/>
    <x:col min="15" max="15" width="3" hidden="0" customWidth="1"/>
  </x:cols>
  <x:sheetData>
    <x:row r="1" ht="32" customHeight="1">
      <x:c r="A1" s="5" t="str">
        <x:v>电能制氢模型｜哪些参数最影响赚钱</x:v>
      </x:c>
      <x:c r="B1" s="5" t="str">
        <x:v>电能制氢模型｜哪些参数最影响赚钱</x:v>
      </x:c>
      <x:c r="C1" s="5" t="str">
        <x:v>电能制氢模型｜哪些参数最影响赚钱</x:v>
      </x:c>
      <x:c r="D1" s="5" t="str">
        <x:v>电能制氢模型｜哪些参数最影响赚钱</x:v>
      </x:c>
      <x:c r="E1" s="5" t="str">
        <x:v>电能制氢模型｜哪些参数最影响赚钱</x:v>
      </x:c>
      <x:c r="F1" s="5" t="str">
        <x:v>电能制氢模型｜哪些参数最影响赚钱</x:v>
      </x:c>
      <x:c r="G1" s="5" t="str">
        <x:v>电能制氢模型｜哪些参数最影响赚钱</x:v>
      </x:c>
      <x:c r="H1" s="5" t="str">
        <x:v>电能制氢模型｜哪些参数最影响赚钱</x:v>
      </x:c>
      <x:c r="I1" s="5" t="str">
        <x:v>电能制氢模型｜哪些参数最影响赚钱</x:v>
      </x:c>
      <x:c r="J1" s="5" t="str">
        <x:v>电能制氢模型｜哪些参数最影响赚钱</x:v>
      </x:c>
      <x:c r="K1" s="5" t="str">
        <x:v>电能制氢模型｜哪些参数最影响赚钱</x:v>
      </x:c>
      <x:c r="L1" s="5" t="str">
        <x:v>电能制氢模型｜哪些参数最影响赚钱</x:v>
      </x:c>
      <x:c r="M1" s="5" t="str">
        <x:v>电能制氢模型｜哪些参数最影响赚钱</x:v>
      </x:c>
      <x:c r="N1" s="5" t="str">
        <x:v>电能制氢模型｜哪些参数最影响赚钱</x:v>
      </x:c>
      <x:c r="O1" s="5" t="str">
        <x:v>电能制氢模型｜哪些参数最影响赚钱</x:v>
      </x:c>
    </x:row>
    <x:row r="2" ht="28" customHeight="1">
      <x:c r="A2" s="10" t="str">
        <x:v>敏感性分析不是重新优化设备运行，而是在当前调度结构下改变关键经济假设，观察 NPV（净现值）怎样变化。绿色为正值，红色为负值。</x:v>
      </x:c>
      <x:c r="B2" s="10" t="str">
        <x:v>敏感性分析不是重新优化设备运行，而是在当前调度结构下改变关键经济假设，观察 NPV（净现值）怎样变化。绿色为正值，红色为负值。</x:v>
      </x:c>
      <x:c r="C2" s="10" t="str">
        <x:v>敏感性分析不是重新优化设备运行，而是在当前调度结构下改变关键经济假设，观察 NPV（净现值）怎样变化。绿色为正值，红色为负值。</x:v>
      </x:c>
      <x:c r="D2" s="10" t="str">
        <x:v>敏感性分析不是重新优化设备运行，而是在当前调度结构下改变关键经济假设，观察 NPV（净现值）怎样变化。绿色为正值，红色为负值。</x:v>
      </x:c>
      <x:c r="E2" s="10" t="str">
        <x:v>敏感性分析不是重新优化设备运行，而是在当前调度结构下改变关键经济假设，观察 NPV（净现值）怎样变化。绿色为正值，红色为负值。</x:v>
      </x:c>
      <x:c r="F2" s="10" t="str">
        <x:v>敏感性分析不是重新优化设备运行，而是在当前调度结构下改变关键经济假设，观察 NPV（净现值）怎样变化。绿色为正值，红色为负值。</x:v>
      </x:c>
      <x:c r="G2" s="10" t="str">
        <x:v>敏感性分析不是重新优化设备运行，而是在当前调度结构下改变关键经济假设，观察 NPV（净现值）怎样变化。绿色为正值，红色为负值。</x:v>
      </x:c>
      <x:c r="H2" s="10" t="str">
        <x:v>敏感性分析不是重新优化设备运行，而是在当前调度结构下改变关键经济假设，观察 NPV（净现值）怎样变化。绿色为正值，红色为负值。</x:v>
      </x:c>
      <x:c r="I2" s="10" t="str">
        <x:v>敏感性分析不是重新优化设备运行，而是在当前调度结构下改变关键经济假设，观察 NPV（净现值）怎样变化。绿色为正值，红色为负值。</x:v>
      </x:c>
      <x:c r="J2" s="10" t="str">
        <x:v>敏感性分析不是重新优化设备运行，而是在当前调度结构下改变关键经济假设，观察 NPV（净现值）怎样变化。绿色为正值，红色为负值。</x:v>
      </x:c>
      <x:c r="K2" s="10" t="str">
        <x:v>敏感性分析不是重新优化设备运行，而是在当前调度结构下改变关键经济假设，观察 NPV（净现值）怎样变化。绿色为正值，红色为负值。</x:v>
      </x:c>
      <x:c r="L2" s="10" t="str">
        <x:v>敏感性分析不是重新优化设备运行，而是在当前调度结构下改变关键经济假设，观察 NPV（净现值）怎样变化。绿色为正值，红色为负值。</x:v>
      </x:c>
      <x:c r="M2" s="10" t="str">
        <x:v>敏感性分析不是重新优化设备运行，而是在当前调度结构下改变关键经济假设，观察 NPV（净现值）怎样变化。绿色为正值，红色为负值。</x:v>
      </x:c>
      <x:c r="N2" s="10" t="str">
        <x:v>敏感性分析不是重新优化设备运行，而是在当前调度结构下改变关键经济假设，观察 NPV（净现值）怎样变化。绿色为正值，红色为负值。</x:v>
      </x:c>
      <x:c r="O2" s="10" t="str">
        <x:v>敏感性分析不是重新优化设备运行，而是在当前调度结构下改变关键经济假设，观察 NPV（净现值）怎样变化。绿色为正值，红色为负值。</x:v>
      </x:c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</x:row>
    <x:row r="4" ht="24" customHeight="1">
      <x:c r="A4" s="14" t="str">
        <x:v>氢气价格变化</x:v>
      </x:c>
      <x:c r="B4" s="14" t="str">
        <x:v>氢气价格变化</x:v>
      </x:c>
      <x:c r="C4" s="14" t="str">
        <x:v>氢气价格变化</x:v>
      </x:c>
      <x:c r="D4" s="14" t="str">
        <x:v>氢气价格变化</x:v>
      </x:c>
      <x:c r="E4" s="68"/>
      <x:c r="F4" s="14" t="str">
        <x:v>初始投资变化</x:v>
      </x:c>
      <x:c r="G4" s="14" t="str">
        <x:v>初始投资变化</x:v>
      </x:c>
      <x:c r="H4" s="14" t="str">
        <x:v>初始投资变化</x:v>
      </x:c>
      <x:c r="I4" s="14" t="str">
        <x:v>初始投资变化</x:v>
      </x:c>
      <x:c r="J4" s="68"/>
      <x:c r="K4" s="14" t="str">
        <x:v>年等效运行天数变化</x:v>
      </x:c>
      <x:c r="L4" s="14" t="str">
        <x:v>年等效运行天数变化</x:v>
      </x:c>
      <x:c r="M4" s="14" t="str">
        <x:v>年等效运行天数变化</x:v>
      </x:c>
      <x:c r="N4" s="14" t="str">
        <x:v>年等效运行天数变化</x:v>
      </x:c>
      <x:c r="O4" s="68"/>
    </x:row>
    <x:row r="5" ht="28" customHeight="1">
      <x:c r="A5" s="23" t="str">
        <x:v>氢价（元/kg）</x:v>
      </x:c>
      <x:c r="B5" s="23" t="str">
        <x:v>NPV（百万元）</x:v>
      </x:c>
      <x:c r="C5" s="23" t="str">
        <x:v>是否可行</x:v>
      </x:c>
      <x:c r="D5" s="23" t="str">
        <x:v>怎么理解</x:v>
      </x:c>
      <x:c r="E5" s="68"/>
      <x:c r="F5" s="23" t="str">
        <x:v>投资比例</x:v>
      </x:c>
      <x:c r="G5" s="23" t="str">
        <x:v>NPV（百万元）</x:v>
      </x:c>
      <x:c r="H5" s="23" t="str">
        <x:v>是否可行</x:v>
      </x:c>
      <x:c r="I5" s="23" t="str">
        <x:v>怎么理解</x:v>
      </x:c>
      <x:c r="J5" s="68"/>
      <x:c r="K5" s="23" t="str">
        <x:v>等效天数（天/年）</x:v>
      </x:c>
      <x:c r="L5" s="23" t="str">
        <x:v>NPV（百万元）</x:v>
      </x:c>
      <x:c r="M5" s="23" t="str">
        <x:v>是否可行</x:v>
      </x:c>
      <x:c r="N5" s="23" t="str">
        <x:v>怎么理解</x:v>
      </x:c>
      <x:c r="O5" s="68"/>
    </x:row>
    <x:row r="6" ht="31" customHeight="1">
      <x:c r="A6" s="33" t="n">
        <x:v>20</x:v>
      </x:c>
      <x:c r="B6" s="33" t="n">
        <x:f>-'2_输入参数'!B28+((A6*SUM('3_最优分配'!H5:H10)/10000+'2_输入参数'!B20-'2_输入参数'!B19-'2_输入参数'!B8*SUM('3_最优分配'!H5:H10)/10000-'2_输入参数'!B22-'2_输入参数'!B23)*'2_输入参数'!B10/100-'2_输入参数'!B28*'2_输入参数'!B33)*(1-(1+'2_输入参数'!B34)^(-'2_输入参数'!B35))/'2_输入参数'!B34-'2_输入参数'!B36/(1+'2_输入参数'!B34)^'2_输入参数'!B37-'2_输入参数'!B36/(1+'2_输入参数'!B34)^'2_输入参数'!B38</x:f>
        <x:v>-0.2812440004584644</x:v>
      </x:c>
      <x:c r="C6" s="19" t="str">
        <x:f>IF(B6&gt;0,"NPV 为正","NPV 为负")</x:f>
        <x:v>NPV 为负</x:v>
      </x:c>
      <x:c r="D6" s="19" t="str">
        <x:v>接近盈亏平衡点</x:v>
      </x:c>
      <x:c r="E6" s="68"/>
      <x:c r="F6" s="48" t="n">
        <x:v>0.8</x:v>
      </x:c>
      <x:c r="G6" s="33" t="n">
        <x:f>-'2_输入参数'!B28*F6+('4_收益与成本'!B12*'2_输入参数'!B10/100-'2_输入参数'!B28*F6*'2_输入参数'!B33)*(1-(1+'2_输入参数'!B34)^(-'2_输入参数'!B35))/'2_输入参数'!B34-'2_输入参数'!B36/(1+'2_输入参数'!B34)^'2_输入参数'!B37-'2_输入参数'!B36/(1+'2_输入参数'!B34)^'2_输入参数'!B38</x:f>
        <x:v>939.225009743736</x:v>
      </x:c>
      <x:c r="H6" s="19" t="str">
        <x:f>IF(G6&gt;0,"NPV 为正","NPV 为负")</x:f>
        <x:v>NPV 为正</x:v>
      </x:c>
      <x:c r="I6" s="19" t="str">
        <x:v>设备降本 20%</x:v>
      </x:c>
      <x:c r="J6" s="68"/>
      <x:c r="K6" s="33" t="n">
        <x:v>280</x:v>
      </x:c>
      <x:c r="L6" s="33" t="n">
        <x:f>-'2_输入参数'!B28+('4_收益与成本'!B12*K6/100-'2_输入参数'!B28*'2_输入参数'!B33)*(1-(1+'2_输入参数'!B34)^(-'2_输入参数'!B35))/'2_输入参数'!B34-'2_输入参数'!B36/(1+'2_输入参数'!B34)^'2_输入参数'!B37-'2_输入参数'!B36/(1+'2_输入参数'!B34)^'2_输入参数'!B38</x:f>
        <x:v>522.6980226168495</x:v>
      </x:c>
      <x:c r="M6" s="19" t="str">
        <x:f>IF(L6&gt;0,"NPV 为正","NPV 为负")</x:f>
        <x:v>NPV 为正</x:v>
      </x:c>
      <x:c r="N6" s="19" t="str">
        <x:v>利用小时偏低</x:v>
      </x:c>
      <x:c r="O6" s="68"/>
    </x:row>
    <x:row r="7" ht="31" customHeight="1">
      <x:c r="A7" s="33" t="n">
        <x:v>25</x:v>
      </x:c>
      <x:c r="B7" s="33" t="n">
        <x:f>-'2_输入参数'!B28+((A7*SUM('3_最优分配'!H5:H10)/10000+'2_输入参数'!B20-'2_输入参数'!B19-'2_输入参数'!B8*SUM('3_最优分配'!H5:H10)/10000-'2_输入参数'!B22-'2_输入参数'!B23)*'2_输入参数'!B10/100-'2_输入参数'!B28*'2_输入参数'!B33)*(1-(1+'2_输入参数'!B34)^(-'2_输入参数'!B35))/'2_输入参数'!B34-'2_输入参数'!B36/(1+'2_输入参数'!B34)^'2_输入参数'!B37-'2_输入参数'!B36/(1+'2_输入参数'!B34)^'2_输入参数'!B38</x:f>
        <x:v>388.51739333453355</x:v>
      </x:c>
      <x:c r="C7" s="19" t="str">
        <x:f>IF(B7&gt;0,"NPV 为正","NPV 为负")</x:f>
        <x:v>NPV 为正</x:v>
      </x:c>
      <x:c r="D7" s="19" t="str">
        <x:v>项目价值明显转正</x:v>
      </x:c>
      <x:c r="E7" s="68"/>
      <x:c r="F7" s="48" t="n">
        <x:v>1</x:v>
      </x:c>
      <x:c r="G7" s="33" t="n">
        <x:f>-'2_输入参数'!B28*F7+('4_收益与成本'!B12*'2_输入参数'!B10/100-'2_输入参数'!B28*F7*'2_输入参数'!B33)*(1-(1+'2_输入参数'!B34)^(-'2_输入参数'!B35))/'2_输入参数'!B34-'2_输入参数'!B36/(1+'2_输入参数'!B34)^'2_输入参数'!B37-'2_输入参数'!B36/(1+'2_输入参数'!B34)^'2_输入参数'!B38</x:f>
        <x:v>777.3160306695257</x:v>
      </x:c>
      <x:c r="H7" s="19" t="str">
        <x:f>IF(G7&gt;0,"NPV 为正","NPV 为负")</x:f>
        <x:v>NPV 为正</x:v>
      </x:c>
      <x:c r="I7" s="19" t="str">
        <x:v>基准投资</x:v>
      </x:c>
      <x:c r="J7" s="68"/>
      <x:c r="K7" s="33" t="n">
        <x:v>330</x:v>
      </x:c>
      <x:c r="L7" s="33" t="n">
        <x:f>-'2_输入参数'!B28+('4_收益与成本'!B12*K7/100-'2_输入参数'!B28*'2_输入参数'!B33)*(1-(1+'2_输入参数'!B34)^(-'2_输入参数'!B35))/'2_输入参数'!B34-'2_输入参数'!B36/(1+'2_输入参数'!B34)^'2_输入参数'!B37-'2_输入参数'!B36/(1+'2_输入参数'!B34)^'2_输入参数'!B38</x:f>
        <x:v>777.3160306695257</x:v>
      </x:c>
      <x:c r="M7" s="19" t="str">
        <x:f>IF(L7&gt;0,"NPV 为正","NPV 为负")</x:f>
        <x:v>NPV 为正</x:v>
      </x:c>
      <x:c r="N7" s="19" t="str">
        <x:v>基准情景</x:v>
      </x:c>
      <x:c r="O7" s="68"/>
    </x:row>
    <x:row r="8" ht="31" customHeight="1">
      <x:c r="A8" s="33" t="n">
        <x:v>30</x:v>
      </x:c>
      <x:c r="B8" s="33" t="n">
        <x:f>-'2_输入参数'!B28+((A8*SUM('3_最优分配'!H5:H10)/10000+'2_输入参数'!B20-'2_输入参数'!B19-'2_输入参数'!B8*SUM('3_最优分配'!H5:H10)/10000-'2_输入参数'!B22-'2_输入参数'!B23)*'2_输入参数'!B10/100-'2_输入参数'!B28*'2_输入参数'!B33)*(1-(1+'2_输入参数'!B34)^(-'2_输入参数'!B35))/'2_输入参数'!B34-'2_输入参数'!B36/(1+'2_输入参数'!B34)^'2_输入参数'!B37-'2_输入参数'!B36/(1+'2_输入参数'!B34)^'2_输入参数'!B38</x:f>
        <x:v>777.3160306695257</x:v>
      </x:c>
      <x:c r="C8" s="19" t="str">
        <x:f>IF(B8&gt;0,"NPV 为正","NPV 为负")</x:f>
        <x:v>NPV 为正</x:v>
      </x:c>
      <x:c r="D8" s="19" t="str">
        <x:v>基准情景</x:v>
      </x:c>
      <x:c r="E8" s="68"/>
      <x:c r="F8" s="48" t="n">
        <x:v>1.2</x:v>
      </x:c>
      <x:c r="G8" s="33" t="n">
        <x:f>-'2_输入参数'!B28*F8+('4_收益与成本'!B12*'2_输入参数'!B10/100-'2_输入参数'!B28*F8*'2_输入参数'!B33)*(1-(1+'2_输入参数'!B34)^(-'2_输入参数'!B35))/'2_输入参数'!B34-'2_输入参数'!B36/(1+'2_输入参数'!B34)^'2_输入参数'!B37-'2_输入参数'!B36/(1+'2_输入参数'!B34)^'2_输入参数'!B38</x:f>
        <x:v>615.4070515953157</x:v>
      </x:c>
      <x:c r="H8" s="19" t="str">
        <x:f>IF(G8&gt;0,"NPV 为正","NPV 为负")</x:f>
        <x:v>NPV 为正</x:v>
      </x:c>
      <x:c r="I8" s="19" t="str">
        <x:v>设备投资增加 20%</x:v>
      </x:c>
      <x:c r="J8" s="68"/>
      <x:c r="K8" s="33" t="n">
        <x:v>365</x:v>
      </x:c>
      <x:c r="L8" s="33" t="n">
        <x:f>-'2_输入参数'!B28+('4_收益与成本'!B12*K8/100-'2_输入参数'!B28*'2_输入参数'!B33)*(1-(1+'2_输入参数'!B34)^(-'2_输入参数'!B35))/'2_输入参数'!B34-'2_输入参数'!B36/(1+'2_输入参数'!B34)^'2_输入参数'!B37-'2_输入参数'!B36/(1+'2_输入参数'!B34)^'2_输入参数'!B38</x:f>
        <x:v>955.5486363063991</x:v>
      </x:c>
      <x:c r="M8" s="19" t="str">
        <x:f>IF(L8&gt;0,"NPV 为正","NPV 为负")</x:f>
        <x:v>NPV 为正</x:v>
      </x:c>
      <x:c r="N8" s="19" t="str">
        <x:v>接近全年连续运行</x:v>
      </x:c>
      <x:c r="O8" s="68"/>
    </x:row>
    <x:row r="9" ht="31" customHeight="1">
      <x:c r="A9" s="33" t="n">
        <x:v>35</x:v>
      </x:c>
      <x:c r="B9" s="33" t="n">
        <x:f>-'2_输入参数'!B28+((A9*SUM('3_最优分配'!H5:H10)/10000+'2_输入参数'!B20-'2_输入参数'!B19-'2_输入参数'!B8*SUM('3_最优分配'!H5:H10)/10000-'2_输入参数'!B22-'2_输入参数'!B23)*'2_输入参数'!B10/100-'2_输入参数'!B28*'2_输入参数'!B33)*(1-(1+'2_输入参数'!B34)^(-'2_输入参数'!B35))/'2_输入参数'!B34-'2_输入参数'!B36/(1+'2_输入参数'!B34)^'2_输入参数'!B37-'2_输入参数'!B36/(1+'2_输入参数'!B34)^'2_输入参数'!B38</x:f>
        <x:v>1166.1146680045176</x:v>
      </x:c>
      <x:c r="C9" s="19" t="str">
        <x:f>IF(B9&gt;0,"NPV 为正","NPV 为负")</x:f>
        <x:v>NPV 为正</x:v>
      </x:c>
      <x:c r="D9" s="19" t="str">
        <x:v>氢价提高，收益明显增加</x:v>
      </x:c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</x:row>
    <x:row r="10" ht="31" customHeight="1">
      <x:c r="A10" s="33" t="n">
        <x:v>40</x:v>
      </x:c>
      <x:c r="B10" s="33" t="n">
        <x:f>-'2_输入参数'!B28+((A10*SUM('3_最优分配'!H5:H10)/10000+'2_输入参数'!B20-'2_输入参数'!B19-'2_输入参数'!B8*SUM('3_最优分配'!H5:H10)/10000-'2_输入参数'!B22-'2_输入参数'!B23)*'2_输入参数'!B10/100-'2_输入参数'!B28*'2_输入参数'!B33)*(1-(1+'2_输入参数'!B34)^(-'2_输入参数'!B35))/'2_输入参数'!B34-'2_输入参数'!B36/(1+'2_输入参数'!B34)^'2_输入参数'!B37-'2_输入参数'!B36/(1+'2_输入参数'!B34)^'2_输入参数'!B38</x:f>
        <x:v>1554.9133053395092</x:v>
      </x:c>
      <x:c r="C10" s="19" t="str">
        <x:f>IF(B10&gt;0,"NPV 为正","NPV 为负")</x:f>
        <x:v>NPV 为正</x:v>
      </x:c>
      <x:c r="D10" s="19" t="str">
        <x:v>高价格情景</x:v>
      </x:c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</x:row>
    <x:row r="11">
      <x:c r="A11" s="68"/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</x:row>
    <x:row r="12">
      <x:c r="A12" s="68"/>
      <x:c r="B12" s="68"/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</x:row>
    <x:row r="13">
      <x:c r="A13" s="68"/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</x:row>
    <x:row r="14">
      <x:c r="A14" s="68"/>
      <x:c r="B14" s="68"/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</x:row>
    <x:row r="15">
      <x:c r="A15" s="68"/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</x:row>
    <x:row r="16">
      <x:c r="A16" s="68"/>
      <x:c r="B16" s="68"/>
      <x:c r="C16" s="68"/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</x:row>
    <x:row r="17">
      <x:c r="A17" s="68"/>
      <x:c r="B17" s="68"/>
      <x:c r="C17" s="68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</x:row>
    <x:row r="18">
      <x:c r="A18" s="68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</x:row>
    <x:row r="20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</x:row>
    <x:row r="2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</x:row>
    <x:row r="22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</x:row>
    <x:row r="23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</x:row>
    <x:row r="24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</x:row>
    <x:row r="25">
      <x:c r="A25" s="68"/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</x:row>
    <x:row r="26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</x:row>
    <x:row r="27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</x:row>
    <x:row r="28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</x:row>
    <x:row r="30" ht="24" customHeight="1">
      <x:c r="A30" s="14" t="str">
        <x:v>怎么用这张表</x:v>
      </x:c>
      <x:c r="B30" s="14" t="str">
        <x:v>怎么用这张表</x:v>
      </x:c>
      <x:c r="C30" s="14" t="str">
        <x:v>怎么用这张表</x:v>
      </x:c>
      <x:c r="D30" s="14" t="str">
        <x:v>怎么用这张表</x:v>
      </x:c>
      <x:c r="E30" s="14" t="str">
        <x:v>怎么用这张表</x:v>
      </x:c>
      <x:c r="F30" s="14" t="str">
        <x:v>怎么用这张表</x:v>
      </x:c>
      <x:c r="G30" s="14" t="str">
        <x:v>怎么用这张表</x:v>
      </x:c>
      <x:c r="H30" s="14" t="str">
        <x:v>怎么用这张表</x:v>
      </x:c>
      <x:c r="I30" s="14" t="str">
        <x:v>怎么用这张表</x:v>
      </x:c>
      <x:c r="J30" s="14" t="str">
        <x:v>怎么用这张表</x:v>
      </x:c>
      <x:c r="K30" s="14" t="str">
        <x:v>怎么用这张表</x:v>
      </x:c>
      <x:c r="L30" s="14" t="str">
        <x:v>怎么用这张表</x:v>
      </x:c>
      <x:c r="M30" s="14" t="str">
        <x:v>怎么用这张表</x:v>
      </x:c>
      <x:c r="N30" s="14" t="str">
        <x:v>怎么用这张表</x:v>
      </x:c>
      <x:c r="O30" s="14" t="str">
        <x:v>怎么用这张表</x:v>
      </x:c>
    </x:row>
    <x:row r="31" ht="28" customHeight="1">
      <x:c r="A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B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C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D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E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F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G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H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I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J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K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L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M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N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O31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</x:row>
    <x:row r="32" ht="28" customHeight="1">
      <x:c r="A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B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C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D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E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F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G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H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I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J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K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L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M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N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O32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</x:row>
    <x:row r="33" ht="28" customHeight="1">
      <x:c r="A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B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C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D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E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F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G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H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I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J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K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L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M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N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  <x:c r="O33" s="10" t="str">
        <x:v>先看氢气价格：本情景的盈亏平衡价约为 20.00 元/kg；再看投资和运行天数。系统想更挣钱，最直接的三条路是提高低价电利用率、争取更高且稳定的氢气销售价格、降低电解槽与储氢系统投资。敏感性结果只用于方案比较，不替代工程报价和正式财务尽调。</x:v>
      </x:c>
    </x:row>
  </x:sheetData>
  <x:mergeCells>
    <x:mergeCell ref="A1:O1"/>
    <x:mergeCell ref="A2:O2"/>
    <x:mergeCell ref="A4:D4"/>
    <x:mergeCell ref="F4:I4"/>
    <x:mergeCell ref="K4:N4"/>
    <x:mergeCell ref="A30:O30"/>
    <x:mergeCell ref="A31:O33"/>
  </x:mergeCells>
  <x:conditionalFormatting sqref="B6:B10">
    <x:cfRule type="cellIs" dxfId="3" priority="1" operator="lessThan">
      <x:formula>0</x:formula>
    </x:cfRule>
    <x:cfRule type="cellIs" dxfId="4" priority="2" operator="greaterThanOrEqual">
      <x:formula>0</x:formula>
    </x:cfRule>
  </x:conditionalFormatting>
  <x:conditionalFormatting sqref="G6:G8">
    <x:cfRule type="cellIs" dxfId="5" priority="3" operator="lessThan">
      <x:formula>0</x:formula>
    </x:cfRule>
    <x:cfRule type="cellIs" dxfId="6" priority="4" operator="greaterThanOrEqual">
      <x:formula>0</x:formula>
    </x:cfRule>
  </x:conditionalFormatting>
  <x:conditionalFormatting sqref="L6:L8">
    <x:cfRule type="cellIs" dxfId="7" priority="5" operator="lessThan">
      <x:formula>0</x:formula>
    </x:cfRule>
    <x:cfRule type="cellIs" dxfId="8" priority="6" operator="greaterThanOrEqual">
      <x:formula>0</x:formula>
    </x:cfRule>
  </x:conditionalFormatting>
  <x:pageMargins left="0.7" right="0.7" top="0.75" bottom="0.75" header="0.3" footer="0.3"/>
  <x:drawing xmlns:r="http://schemas.openxmlformats.org/officeDocument/2006/relationships" r:id="R457b136a30e94923"/>
</x:worksheet>
</file>