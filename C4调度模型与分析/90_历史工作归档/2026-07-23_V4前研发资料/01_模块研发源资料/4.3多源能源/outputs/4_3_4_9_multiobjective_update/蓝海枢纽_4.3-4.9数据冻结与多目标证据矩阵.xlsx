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lcqc\Desktop\多源能源\outputs\4_3_4_9_multiobjective_update\"/>
    </mc:Choice>
  </mc:AlternateContent>
  <xr:revisionPtr revIDLastSave="0" documentId="13_ncr:1_{71020A5B-CCE0-4D15-8D09-80540CCA6F6E}" xr6:coauthVersionLast="47" xr6:coauthVersionMax="47" xr10:uidLastSave="{00000000-0000-0000-0000-000000000000}"/>
  <bookViews>
    <workbookView xWindow="-98" yWindow="-98" windowWidth="21795" windowHeight="12975" tabRatio="713" firstSheet="5" activeTab="9" xr2:uid="{00000000-000D-0000-FFFF-FFFF00000000}"/>
  </bookViews>
  <sheets>
    <sheet name="00_使用说明" sheetId="1" r:id="rId1"/>
    <sheet name="01_测点损耗边界" sheetId="2" r:id="rId2"/>
    <sheet name="02_统一变量字典" sheetId="3" r:id="rId3"/>
    <sheet name="03_国产参考设备" sheetId="4" r:id="rId4"/>
    <sheet name="04_同场数据规范" sheetId="5" r:id="rId5"/>
    <sheet name="05_公式参数设备整理" sheetId="6" r:id="rId6"/>
    <sheet name="06_4.3企业交流清单" sheetId="7" r:id="rId7"/>
    <sheet name="07_公开资料清单" sheetId="8" r:id="rId8"/>
    <sheet name="09_多目标企业交流清单" sheetId="10" r:id="rId9"/>
    <sheet name="04_4.3模型接口图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</calcChain>
</file>

<file path=xl/sharedStrings.xml><?xml version="1.0" encoding="utf-8"?>
<sst xmlns="http://schemas.openxmlformats.org/spreadsheetml/2006/main" count="3131" uniqueCount="1828">
  <si>
    <t>蓝海枢纽｜4.3数据冻结与证据矩阵</t>
  </si>
  <si>
    <t>用途：冻结源侧测点与损耗边界，管理变量、国产参考设备、同场同步数据和证据闭环。公开资料只能建立基线，真实设备参数必须用企业数据校准。</t>
  </si>
  <si>
    <t>关键统计</t>
  </si>
  <si>
    <t>数量</t>
  </si>
  <si>
    <t>数据获取分级</t>
  </si>
  <si>
    <t>变量总数</t>
  </si>
  <si>
    <t>公开可获取</t>
  </si>
  <si>
    <t>标准目录/公开全文</t>
  </si>
  <si>
    <t>企业官网/公告</t>
  </si>
  <si>
    <t>政府示范项目</t>
  </si>
  <si>
    <t>再分析/开放科学数据</t>
  </si>
  <si>
    <t>公开基线+企业校准</t>
  </si>
  <si>
    <t>公式结构</t>
  </si>
  <si>
    <t>额定值/公开型号</t>
  </si>
  <si>
    <t>资源长期序列</t>
  </si>
  <si>
    <t>最终用于模型前必须同场校准</t>
  </si>
  <si>
    <t>必须企业交流</t>
  </si>
  <si>
    <t>真实功率曲线</t>
  </si>
  <si>
    <t>P-Q能力与保护阈值</t>
  </si>
  <si>
    <t>辅机/损耗分解</t>
  </si>
  <si>
    <t>SCADA、故障、运维及控制器参数</t>
  </si>
  <si>
    <t>不可直接采用</t>
  </si>
  <si>
    <t>新闻稿增益数字</t>
  </si>
  <si>
    <t>无测点说明的效率</t>
  </si>
  <si>
    <t>不同场址拼接序列</t>
  </si>
  <si>
    <t>把项目容量比例当逐时出力权重</t>
  </si>
  <si>
    <t>证据条目</t>
  </si>
  <si>
    <t>冻结结论（用于4.3）</t>
  </si>
  <si>
    <t>1</t>
  </si>
  <si>
    <t>统一发电测点</t>
  </si>
  <si>
    <t>source_collection_bus：扣除源内集电/变压损耗后的发电注入；不扣源侧辅机。</t>
  </si>
  <si>
    <t>2</t>
  </si>
  <si>
    <t>辅机口径</t>
  </si>
  <si>
    <t>pSourceAux作为4.4消耗端口单列，禁止在单源模型和4.4重复扣除。</t>
  </si>
  <si>
    <t>3</t>
  </si>
  <si>
    <t>损耗边界</t>
  </si>
  <si>
    <t>4.3只负责设备端至source_collection_bus；公共母线后变压器/海缆损耗归4.4/4.9。</t>
  </si>
  <si>
    <t>4</t>
  </si>
  <si>
    <t>设备基准</t>
  </si>
  <si>
    <t>风电：三峡引领号5.5MW运行基准+明阳OceanX 16.6MW前沿情景；光伏：半岛南3号500kW系统+隆基海光专用组件候选；潮流能：LHD奋进号1.6MW。</t>
  </si>
  <si>
    <t>5</t>
  </si>
  <si>
    <t>数据原则</t>
  </si>
  <si>
    <t>公开再分析用于长期资源与先验场景；同场传感器和SCADA用于设备校准、状态机和验证。</t>
  </si>
  <si>
    <t>6</t>
  </si>
  <si>
    <t>当前状态</t>
  </si>
  <si>
    <t>本表冻结的是字段、测点、来源类别和取数路线；未取得企业数据的数值仍为[假设值，待企业调研校准]。</t>
  </si>
  <si>
    <t>测点及损耗边界冻结表</t>
  </si>
  <si>
    <t>红色项通常必须与企业/设计院获取；冻结后，任何模型不得自行改变扣损顺序。</t>
  </si>
  <si>
    <t>ID</t>
  </si>
  <si>
    <t>层级/测点</t>
  </si>
  <si>
    <t>冻结变量</t>
  </si>
  <si>
    <t>正方向</t>
  </si>
  <si>
    <t>包含内容</t>
  </si>
  <si>
    <t>不包含内容</t>
  </si>
  <si>
    <t>损耗/辅机处理</t>
  </si>
  <si>
    <t>归属章节</t>
  </si>
  <si>
    <t>数据获取</t>
  </si>
  <si>
    <t>冻结状态</t>
  </si>
  <si>
    <t>核验/备注</t>
  </si>
  <si>
    <t>MP-00</t>
  </si>
  <si>
    <t>环境资源面</t>
  </si>
  <si>
    <t>wind/solar/current/wave fields</t>
  </si>
  <si>
    <t>按各物理量约定</t>
  </si>
  <si>
    <t>风、光、流、浪、温度、姿态原始观测</t>
  </si>
  <si>
    <t>任何发电效率或损耗</t>
  </si>
  <si>
    <t>只做资源输入，不在此扣损</t>
  </si>
  <si>
    <t>4.3输入</t>
  </si>
  <si>
    <t>公开基线+企业同场观测</t>
  </si>
  <si>
    <t>已冻结</t>
  </si>
  <si>
    <t>统一UTC、坐标、垂向基准</t>
  </si>
  <si>
    <t>MP-01</t>
  </si>
  <si>
    <t>设备变流器/发电机交流端</t>
  </si>
  <si>
    <t>pAvailableGross,pActualGross</t>
  </si>
  <si>
    <t>向集电网为正</t>
  </si>
  <si>
    <t>单台设备端毛发电功率</t>
  </si>
  <si>
    <t>源内集电损耗、源侧辅机、公共母线损耗</t>
  </si>
  <si>
    <t>功率曲线若已是交流电功率，不再重复乘发电机/变流器效率</t>
  </si>
  <si>
    <t>4.3单源模型</t>
  </si>
  <si>
    <t>设备端真实曲线通常为企业数据</t>
  </si>
  <si>
    <t>MP-02</t>
  </si>
  <si>
    <t>源内集电网</t>
  </si>
  <si>
    <t>pCollectionLoss</t>
  </si>
  <si>
    <t>损耗取非负</t>
  </si>
  <si>
    <t>阵列电缆、源侧升压设备及约定到公共汇集点的损耗</t>
  </si>
  <si>
    <t>源侧辅机、岛级公共辅机、外送海缆损耗</t>
  </si>
  <si>
    <t>pAvailableAtPOI=pAvailableGross-pCollectionLoss</t>
  </si>
  <si>
    <t>4.3适配层</t>
  </si>
  <si>
    <t>V2三源扣损顺序不一致，V3必须统一</t>
  </si>
  <si>
    <t>MP-03</t>
  </si>
  <si>
    <t>源侧公共汇集点 source_collection_bus</t>
  </si>
  <si>
    <t>pAvailableAtPOI,pAccepted,pActualAtPOI</t>
  </si>
  <si>
    <t>发电注入母线为正</t>
  </si>
  <si>
    <t>已扣MP-02损耗的逐源发电注入</t>
  </si>
  <si>
    <t>pSourceAux、公共辅机、储能、负荷端口及POI后损耗</t>
  </si>
  <si>
    <t>4.3标准输出测点</t>
  </si>
  <si>
    <t>4.3输出/4.4输入</t>
  </si>
  <si>
    <t>设计单线图+企业计量</t>
  </si>
  <si>
    <t>不要称为“净发电”，因尚未扣源侧辅机</t>
  </si>
  <si>
    <t>MP-04</t>
  </si>
  <si>
    <t>源侧辅机负荷</t>
  </si>
  <si>
    <t>pSourceAux</t>
  </si>
  <si>
    <t>消耗为正</t>
  </si>
  <si>
    <t>风机/光伏/潮流装置运行与待机辅机</t>
  </si>
  <si>
    <t>岛级公共辅机</t>
  </si>
  <si>
    <t>作为4.4负荷端口单列，只扣一次</t>
  </si>
  <si>
    <t>4.4输入</t>
  </si>
  <si>
    <t>需分运行/待机/停机状态</t>
  </si>
  <si>
    <t>MP-05</t>
  </si>
  <si>
    <t>能源岛公共母线</t>
  </si>
  <si>
    <t>pSourceActual,pStorageActual,pOtherInjection</t>
  </si>
  <si>
    <t>注入为正、消耗端口取正</t>
  </si>
  <si>
    <t>源侧注入、储能、其他电源与各价值端口</t>
  </si>
  <si>
    <t>设备内部损耗明细</t>
  </si>
  <si>
    <t>建立守恒，不替代设备状态机</t>
  </si>
  <si>
    <t>4.4</t>
  </si>
  <si>
    <t>设计院+EMS/SCADA</t>
  </si>
  <si>
    <t>储能正放电、负充电需全文统一</t>
  </si>
  <si>
    <t>MP-06</t>
  </si>
  <si>
    <t>公共母线后网络/外送链路</t>
  </si>
  <si>
    <t>pPostPOILoss,pExport</t>
  </si>
  <si>
    <t>外送与损耗为正消耗</t>
  </si>
  <si>
    <t>公共变压器、变流、动态电缆/海缆损耗</t>
  </si>
  <si>
    <t>源内集电损耗</t>
  </si>
  <si>
    <t>采用随负载变化模型或分段线性近似</t>
  </si>
  <si>
    <t>4.4/4.9</t>
  </si>
  <si>
    <t>公开公式+企业线路参数</t>
  </si>
  <si>
    <t>禁止以固定百分比重复扣损</t>
  </si>
  <si>
    <t>MP-07</t>
  </si>
  <si>
    <t>价值端口计量</t>
  </si>
  <si>
    <t>pElectrolyzer,pCompute,pMarine,pExport</t>
  </si>
  <si>
    <t>各用能端口消耗为正</t>
  </si>
  <si>
    <t>已服务负荷/外送功率</t>
  </si>
  <si>
    <t>未供电需求</t>
  </si>
  <si>
    <t>未供电量单列pUnservedLoad</t>
  </si>
  <si>
    <t>4.4/4.8-4.9</t>
  </si>
  <si>
    <t>企业计量/合同</t>
  </si>
  <si>
    <t>算力需明确IT功率与设施总功率/PUE</t>
  </si>
  <si>
    <t>EQ-01</t>
  </si>
  <si>
    <t>4.4功率守恒</t>
  </si>
  <si>
    <t>balanceMismatch</t>
  </si>
  <si>
    <t>注入-消耗</t>
  </si>
  <si>
    <t>source+storage+other+import 与 served demand+loss+spill</t>
  </si>
  <si>
    <t>pUnservedLoad不得重复进入servedDemand</t>
  </si>
  <si>
    <t>闭合误差应接近零</t>
  </si>
  <si>
    <t>项目定义</t>
  </si>
  <si>
    <t>失负荷采用“原始需求-已服务需求”口径</t>
  </si>
  <si>
    <t>统一变量字典（4.3—4.4—4.5—EMS）</t>
  </si>
  <si>
    <t>获取分类是本表的核心：公开资料可定义结构和先验，红色“必须企业交流”项在校准前不得填成真实设备数值。</t>
  </si>
  <si>
    <t>变量ID</t>
  </si>
  <si>
    <t>模块</t>
  </si>
  <si>
    <t>V3字段</t>
  </si>
  <si>
    <t>符号</t>
  </si>
  <si>
    <t>中文名称</t>
  </si>
  <si>
    <t>角色</t>
  </si>
  <si>
    <t>数据类型/维度</t>
  </si>
  <si>
    <t>单位</t>
  </si>
  <si>
    <t>正方向/取值域</t>
  </si>
  <si>
    <t>测点</t>
  </si>
  <si>
    <t>公开来源/依据</t>
  </si>
  <si>
    <t>获取分类</t>
  </si>
  <si>
    <t>企业交流内容</t>
  </si>
  <si>
    <t>备注</t>
  </si>
  <si>
    <t>COM-001</t>
  </si>
  <si>
    <t>公共</t>
  </si>
  <si>
    <t>time</t>
  </si>
  <si>
    <t>t</t>
  </si>
  <si>
    <t>统一时间戳</t>
  </si>
  <si>
    <t>外生索引</t>
  </si>
  <si>
    <t>N×1 datetime/秒</t>
  </si>
  <si>
    <t>UTC</t>
  </si>
  <si>
    <t>严格递增</t>
  </si>
  <si>
    <t>全系统</t>
  </si>
  <si>
    <t>项目定义/原始数据时间戳</t>
  </si>
  <si>
    <t>SCADA时钟、NTP/PTP同步精度</t>
  </si>
  <si>
    <t>字段冻结</t>
  </si>
  <si>
    <t>统一保存UTC，展示时转北京时间</t>
  </si>
  <si>
    <t>COM-002</t>
  </si>
  <si>
    <t>sourceId</t>
  </si>
  <si>
    <t>—</t>
  </si>
  <si>
    <t>电源唯一标识</t>
  </si>
  <si>
    <t>静态参数</t>
  </si>
  <si>
    <t>字符串</t>
  </si>
  <si>
    <t>唯一</t>
  </si>
  <si>
    <t>元数据</t>
  </si>
  <si>
    <t>最终设备/场站编码规则</t>
  </si>
  <si>
    <t>禁止用中文简称作主键</t>
  </si>
  <si>
    <t>COM-003</t>
  </si>
  <si>
    <t>sourceType</t>
  </si>
  <si>
    <t>i</t>
  </si>
  <si>
    <t>电源类型</t>
  </si>
  <si>
    <t>枚举</t>
  </si>
  <si>
    <t>wind/pv/tidal</t>
  </si>
  <si>
    <t>EMS类型编码映射</t>
  </si>
  <si>
    <t>COM-004</t>
  </si>
  <si>
    <t>meterPoint</t>
  </si>
  <si>
    <t>统一测点</t>
  </si>
  <si>
    <t>source_collection_bus</t>
  </si>
  <si>
    <t>设计单线图</t>
  </si>
  <si>
    <t>单线图和计量点清单</t>
  </si>
  <si>
    <t>不一致则禁止聚合</t>
  </si>
  <si>
    <t>COM-005</t>
  </si>
  <si>
    <t>parameterSetId</t>
  </si>
  <si>
    <t>参数版本</t>
  </si>
  <si>
    <t>唯一版本号</t>
  </si>
  <si>
    <t>项目管理</t>
  </si>
  <si>
    <t>OEM参数版本/固件版本</t>
  </si>
  <si>
    <t>支撑可追溯复现</t>
  </si>
  <si>
    <t>COM-006</t>
  </si>
  <si>
    <t>qualityFlag</t>
  </si>
  <si>
    <t>qf</t>
  </si>
  <si>
    <t>数据质量标志</t>
  </si>
  <si>
    <t>外生/输出</t>
  </si>
  <si>
    <t>N×S枚举</t>
  </si>
  <si>
    <t>valid/missing/outlier/extrapolated</t>
  </si>
  <si>
    <t>各测点</t>
  </si>
  <si>
    <t>数据质量规则</t>
  </si>
  <si>
    <t>SCADA质量码和检修标志</t>
  </si>
  <si>
    <t>待细化</t>
  </si>
  <si>
    <t>不能仅用逻辑true/false</t>
  </si>
  <si>
    <t>COM-007</t>
  </si>
  <si>
    <t>availabilityState</t>
  </si>
  <si>
    <t>a_state</t>
  </si>
  <si>
    <t>物理可用状态</t>
  </si>
  <si>
    <t>外生状态</t>
  </si>
  <si>
    <t>N×M逻辑</t>
  </si>
  <si>
    <t>0/1</t>
  </si>
  <si>
    <t>设备级</t>
  </si>
  <si>
    <t>SCADA/运维记录</t>
  </si>
  <si>
    <t>故障、检修、通信中断标记</t>
  </si>
  <si>
    <t>与连续可用率分开</t>
  </si>
  <si>
    <t>COM-008</t>
  </si>
  <si>
    <t>availabilityFactor</t>
  </si>
  <si>
    <t>a_factor</t>
  </si>
  <si>
    <t>可用容量比例</t>
  </si>
  <si>
    <t>N×M数值</t>
  </si>
  <si>
    <t>0—1</t>
  </si>
  <si>
    <t>公开可靠性先验</t>
  </si>
  <si>
    <t>真实可用率与降容记录</t>
  </si>
  <si>
    <t>COM-009</t>
  </si>
  <si>
    <t>derateFactor</t>
  </si>
  <si>
    <t>d</t>
  </si>
  <si>
    <t>降额系数</t>
  </si>
  <si>
    <t>控制/状态</t>
  </si>
  <si>
    <t>厂家公开原则</t>
  </si>
  <si>
    <t>环境/温度/电气降额曲线</t>
  </si>
  <si>
    <t>统一替代derate字段</t>
  </si>
  <si>
    <t>COM-010</t>
  </si>
  <si>
    <t>operatingState</t>
  </si>
  <si>
    <t>z</t>
  </si>
  <si>
    <t>物理运行状态</t>
  </si>
  <si>
    <t>状态变量</t>
  </si>
  <si>
    <t>normal/standby/protected/restart/unavailable/transition</t>
  </si>
  <si>
    <t>设备/源级</t>
  </si>
  <si>
    <t>OEM控制逻辑</t>
  </si>
  <si>
    <t>状态机与复归计时</t>
  </si>
  <si>
    <t>待统一编码</t>
  </si>
  <si>
    <t>不得混入EMS限发原因</t>
  </si>
  <si>
    <t>COM-011</t>
  </si>
  <si>
    <t>constraintCode</t>
  </si>
  <si>
    <t>c</t>
  </si>
  <si>
    <t>受限原因</t>
  </si>
  <si>
    <t>诊断输出</t>
  </si>
  <si>
    <t>resource/rated/ramp/EMS/environment/PQ等</t>
  </si>
  <si>
    <t>项目定义+设备反馈</t>
  </si>
  <si>
    <t>控制器限幅与告警码映射</t>
  </si>
  <si>
    <t>与operatingState分开</t>
  </si>
  <si>
    <t>SRC-001</t>
  </si>
  <si>
    <t>统一源接口</t>
  </si>
  <si>
    <t>pAvailableGross</t>
  </si>
  <si>
    <t>P_av,gross</t>
  </si>
  <si>
    <t>设备端可用毛功率</t>
  </si>
  <si>
    <t>物理输出</t>
  </si>
  <si>
    <t>N×S</t>
  </si>
  <si>
    <t>W</t>
  </si>
  <si>
    <t>设备曲线/模型</t>
  </si>
  <si>
    <t>现场功率曲线、环境修正</t>
  </si>
  <si>
    <t>不扣集电损耗与辅机</t>
  </si>
  <si>
    <t>SRC-002</t>
  </si>
  <si>
    <t>P_loss,col</t>
  </si>
  <si>
    <t>非负</t>
  </si>
  <si>
    <t>I²R/潮流模型</t>
  </si>
  <si>
    <t>电缆/变压器参数、负载损耗</t>
  </si>
  <si>
    <t>禁止固定比例作为最终模型</t>
  </si>
  <si>
    <t>SRC-003</t>
  </si>
  <si>
    <t>pAvailableAtPOI</t>
  </si>
  <si>
    <t>P_av</t>
  </si>
  <si>
    <t>公共汇集点可用发电注入</t>
  </si>
  <si>
    <t>物理边界</t>
  </si>
  <si>
    <t>守恒定义</t>
  </si>
  <si>
    <t>测点核对与损耗校准</t>
  </si>
  <si>
    <t>=gross-collection loss，不扣辅机</t>
  </si>
  <si>
    <t>SRC-004</t>
  </si>
  <si>
    <t>pRequested</t>
  </si>
  <si>
    <t>P_req</t>
  </si>
  <si>
    <t>EMS请求功率</t>
  </si>
  <si>
    <t>决策输入</t>
  </si>
  <si>
    <t>EMS模型</t>
  </si>
  <si>
    <t>AGC/EMS接口、刷新周期</t>
  </si>
  <si>
    <t>保留原始请求</t>
  </si>
  <si>
    <t>SRC-005</t>
  </si>
  <si>
    <t>pAccepted</t>
  </si>
  <si>
    <t>P_acc</t>
  </si>
  <si>
    <t>设备接受功率</t>
  </si>
  <si>
    <t>设备反馈</t>
  </si>
  <si>
    <t>0≤acc≤available</t>
  </si>
  <si>
    <t>状态机/能力边界</t>
  </si>
  <si>
    <t>控制器接受逻辑</t>
  </si>
  <si>
    <t>聚合函数不得静默裁剪</t>
  </si>
  <si>
    <t>SRC-006</t>
  </si>
  <si>
    <t>pActualAtPOI</t>
  </si>
  <si>
    <t>P_act</t>
  </si>
  <si>
    <t>实际发电注入</t>
  </si>
  <si>
    <t>测量/输出</t>
  </si>
  <si>
    <t>SCADA/计量</t>
  </si>
  <si>
    <t>高频功率与计量对账</t>
  </si>
  <si>
    <t>不扣源侧辅机</t>
  </si>
  <si>
    <t>SRC-007</t>
  </si>
  <si>
    <t>P_aux</t>
  </si>
  <si>
    <t>负荷输出</t>
  </si>
  <si>
    <t>消耗取正</t>
  </si>
  <si>
    <t>厂用电设计/SCADA</t>
  </si>
  <si>
    <t>运行/待机/停机辅机曲线</t>
  </si>
  <si>
    <t>在4.4只扣一次</t>
  </si>
  <si>
    <t>SRC-008</t>
  </si>
  <si>
    <t>pForecastAvailable</t>
  </si>
  <si>
    <t>P_fcst</t>
  </si>
  <si>
    <t>可用功率点预测</t>
  </si>
  <si>
    <t>预测输入</t>
  </si>
  <si>
    <t>预测模型</t>
  </si>
  <si>
    <t>历史预测与实绩</t>
  </si>
  <si>
    <t>不得由actual加噪声反推</t>
  </si>
  <si>
    <t>SRC-009</t>
  </si>
  <si>
    <t>scenarioAvailable</t>
  </si>
  <si>
    <t>P_scen</t>
  </si>
  <si>
    <t>联合可用功率场景</t>
  </si>
  <si>
    <t>不确定性输入</t>
  </si>
  <si>
    <t>N×S×K</t>
  </si>
  <si>
    <t>场景生成文献</t>
  </si>
  <si>
    <t>同场历史与预测误差</t>
  </si>
  <si>
    <t>必须保持源间和时间相关性</t>
  </si>
  <si>
    <t>SRC-010</t>
  </si>
  <si>
    <t>scenarioProbability</t>
  </si>
  <si>
    <t>π_k</t>
  </si>
  <si>
    <t>场景概率</t>
  </si>
  <si>
    <t>参数</t>
  </si>
  <si>
    <t>K×1</t>
  </si>
  <si>
    <t>非负且和为1</t>
  </si>
  <si>
    <t>场景层</t>
  </si>
  <si>
    <t>统计模型</t>
  </si>
  <si>
    <t>历史频率/校准结果</t>
  </si>
  <si>
    <t>待加入代码</t>
  </si>
  <si>
    <t>SRC-011</t>
  </si>
  <si>
    <t>qMinAtPOI</t>
  </si>
  <si>
    <t>Q_min</t>
  </si>
  <si>
    <t>无功下界</t>
  </si>
  <si>
    <t>var</t>
  </si>
  <si>
    <t>≤Q≤</t>
  </si>
  <si>
    <t>P-Q能力图</t>
  </si>
  <si>
    <t>变流器能力图、并网试验</t>
  </si>
  <si>
    <t>不能长期用视在功率圆替代</t>
  </si>
  <si>
    <t>SRC-012</t>
  </si>
  <si>
    <t>qMaxAtPOI</t>
  </si>
  <si>
    <t>Q_max</t>
  </si>
  <si>
    <t>无功上界</t>
  </si>
  <si>
    <t>≥Q</t>
  </si>
  <si>
    <t>需网络电压/电流校核</t>
  </si>
  <si>
    <t>SRC-013</t>
  </si>
  <si>
    <t>pUpCapability</t>
  </si>
  <si>
    <t>R_up</t>
  </si>
  <si>
    <t>上调能力</t>
  </si>
  <si>
    <t>能力输出</t>
  </si>
  <si>
    <t>控制与资源边界</t>
  </si>
  <si>
    <t>AGC实测与响应时间</t>
  </si>
  <si>
    <t>SRC-014</t>
  </si>
  <si>
    <t>pDownCapability</t>
  </si>
  <si>
    <t>R_down</t>
  </si>
  <si>
    <t>下调能力</t>
  </si>
  <si>
    <t>AGC实测与保护动作</t>
  </si>
  <si>
    <t>资源骤降不受普通rampDown阻挡</t>
  </si>
  <si>
    <t>W-001</t>
  </si>
  <si>
    <t>漂浮式风电</t>
  </si>
  <si>
    <t>windSpeed</t>
  </si>
  <si>
    <t>v_hub</t>
  </si>
  <si>
    <t>轮毂高度风速</t>
  </si>
  <si>
    <t>外生时序</t>
  </si>
  <si>
    <t>N×M</t>
  </si>
  <si>
    <t>m/s</t>
  </si>
  <si>
    <t>沿转子轴定义</t>
  </si>
  <si>
    <t>ERA5/测风标准</t>
  </si>
  <si>
    <t>激光雷达/机舱测风原始数据</t>
  </si>
  <si>
    <t>再分析不得替代场址校准</t>
  </si>
  <si>
    <t>W-002</t>
  </si>
  <si>
    <t>windDirection</t>
  </si>
  <si>
    <t>θ_w</t>
  </si>
  <si>
    <t>风向</t>
  </si>
  <si>
    <t>deg/rad</t>
  </si>
  <si>
    <t>统一气象/数学方向</t>
  </si>
  <si>
    <t>ERA5/测风</t>
  </si>
  <si>
    <t>同场风向与偏航角</t>
  </si>
  <si>
    <t>W-003</t>
  </si>
  <si>
    <t>surgeVelocity</t>
  </si>
  <si>
    <t>ẋ_surge</t>
  </si>
  <si>
    <t>平台纵荡速度</t>
  </si>
  <si>
    <t>机组坐标系</t>
  </si>
  <si>
    <t>平台传感/OpenFAST</t>
  </si>
  <si>
    <t>耦合仿真方法</t>
  </si>
  <si>
    <t>6DOF传感与平台模型</t>
  </si>
  <si>
    <t>W-004</t>
  </si>
  <si>
    <t>pitchRate</t>
  </si>
  <si>
    <t>θ̇_pitch</t>
  </si>
  <si>
    <t>平台纵摇角速度</t>
  </si>
  <si>
    <t>rad/s</t>
  </si>
  <si>
    <t>IMU与平台模型</t>
  </si>
  <si>
    <t>W-005</t>
  </si>
  <si>
    <t>powerCurveWind</t>
  </si>
  <si>
    <t>v_pc</t>
  </si>
  <si>
    <t>功率曲线风速断点</t>
  </si>
  <si>
    <t>设备参数</t>
  </si>
  <si>
    <t>B×1</t>
  </si>
  <si>
    <t>递增</t>
  </si>
  <si>
    <t>IEC 61400-12-1/OEM</t>
  </si>
  <si>
    <t>经密度/湍流/控制版本修正的曲线</t>
  </si>
  <si>
    <t>公开额定点只能作占位</t>
  </si>
  <si>
    <t>W-006</t>
  </si>
  <si>
    <t>powerCurveP</t>
  </si>
  <si>
    <t>P_pc</t>
  </si>
  <si>
    <t>功率曲线电功率</t>
  </si>
  <si>
    <t>实际型号曲线及不确定度</t>
  </si>
  <si>
    <t>W-007</t>
  </si>
  <si>
    <t>ratedPower</t>
  </si>
  <si>
    <t>P_w^r</t>
  </si>
  <si>
    <t>额定有功</t>
  </si>
  <si>
    <t>标量/台</t>
  </si>
  <si>
    <t>正值</t>
  </si>
  <si>
    <t>企业官网/认证</t>
  </si>
  <si>
    <t>合同冻结值</t>
  </si>
  <si>
    <t>W-008</t>
  </si>
  <si>
    <t>cutOutWind/restartWind</t>
  </si>
  <si>
    <t>v_co/v_re</t>
  </si>
  <si>
    <t>切出与复归阈值</t>
  </si>
  <si>
    <t>标量</t>
  </si>
  <si>
    <t>v_re&lt;v_co</t>
  </si>
  <si>
    <t>状态机</t>
  </si>
  <si>
    <t>OEM控制规范</t>
  </si>
  <si>
    <t>高风速停机/再启动逻辑</t>
  </si>
  <si>
    <t>不能凭通用值冒充</t>
  </si>
  <si>
    <t>W-009</t>
  </si>
  <si>
    <t>rampUp/rampDown</t>
  </si>
  <si>
    <t>R_w</t>
  </si>
  <si>
    <t>受控爬坡限值</t>
  </si>
  <si>
    <t>W/s</t>
  </si>
  <si>
    <t>并网试验/OEM</t>
  </si>
  <si>
    <t>不同工况下动态限值</t>
  </si>
  <si>
    <t>PV-001</t>
  </si>
  <si>
    <t>漂浮式光伏</t>
  </si>
  <si>
    <t>dni/dhi/ghi</t>
  </si>
  <si>
    <t>G_DNI/G_DHI/G_GHI</t>
  </si>
  <si>
    <t>三分量辐照</t>
  </si>
  <si>
    <t>N×1</t>
  </si>
  <si>
    <t>W/m²</t>
  </si>
  <si>
    <t>ERA5/NASA POWER</t>
  </si>
  <si>
    <t>同场辐照站原始数据</t>
  </si>
  <si>
    <t>三个分量需闭合检查</t>
  </si>
  <si>
    <t>PV-002</t>
  </si>
  <si>
    <t>sunVector</t>
  </si>
  <si>
    <t>s_sun</t>
  </si>
  <si>
    <t>太阳向量</t>
  </si>
  <si>
    <t>派生输入</t>
  </si>
  <si>
    <t>N×3</t>
  </si>
  <si>
    <t>ENU单位向量</t>
  </si>
  <si>
    <t>太阳位置算法</t>
  </si>
  <si>
    <t>现场坐标/时间核对</t>
  </si>
  <si>
    <t>PV-003</t>
  </si>
  <si>
    <t>roll/pitch/yaw</t>
  </si>
  <si>
    <t>φ/θ/ψ</t>
  </si>
  <si>
    <t>平台姿态</t>
  </si>
  <si>
    <t>rad</t>
  </si>
  <si>
    <t>右手系</t>
  </si>
  <si>
    <t>平台IMU</t>
  </si>
  <si>
    <t>IMU、浮体/系泊模型</t>
  </si>
  <si>
    <t>决定动态POA</t>
  </si>
  <si>
    <t>PV-004</t>
  </si>
  <si>
    <t>ambientTemp</t>
  </si>
  <si>
    <t>T_a</t>
  </si>
  <si>
    <t>环境温度</t>
  </si>
  <si>
    <t>°C</t>
  </si>
  <si>
    <t>实测</t>
  </si>
  <si>
    <t>同场温湿度</t>
  </si>
  <si>
    <t>PV-005</t>
  </si>
  <si>
    <t>moduleTemperature</t>
  </si>
  <si>
    <t>T_m</t>
  </si>
  <si>
    <t>组件温度</t>
  </si>
  <si>
    <t>外生/派生</t>
  </si>
  <si>
    <t>实测优先</t>
  </si>
  <si>
    <t>组件背板</t>
  </si>
  <si>
    <t>IEC 61853-2</t>
  </si>
  <si>
    <t>组件温度传感器数据</t>
  </si>
  <si>
    <t>用于校准U0/U1</t>
  </si>
  <si>
    <t>PV-006</t>
  </si>
  <si>
    <t>powerMatrixPu</t>
  </si>
  <si>
    <t>f(G,T)</t>
  </si>
  <si>
    <t>辐照-温度功率矩阵</t>
  </si>
  <si>
    <t>I×J</t>
  </si>
  <si>
    <t>p.u.</t>
  </si>
  <si>
    <t>组件DC侧</t>
  </si>
  <si>
    <t>IEC 61853-1/OEM</t>
  </si>
  <si>
    <t>实际组件矩阵/Flash test</t>
  </si>
  <si>
    <t>可选优先</t>
  </si>
  <si>
    <t>优于单一线性温度系数</t>
  </si>
  <si>
    <t>PV-007</t>
  </si>
  <si>
    <t>gammaP</t>
  </si>
  <si>
    <t>γ_P</t>
  </si>
  <si>
    <t>最大功率温度系数</t>
  </si>
  <si>
    <t>1/°C</t>
  </si>
  <si>
    <t>通常为负</t>
  </si>
  <si>
    <t>组件数据表</t>
  </si>
  <si>
    <t>批次实测/海上校准</t>
  </si>
  <si>
    <t>PV-008</t>
  </si>
  <si>
    <t>U0/U1</t>
  </si>
  <si>
    <t>温度模型系数</t>
  </si>
  <si>
    <t>校准参数</t>
  </si>
  <si>
    <t>模型单位</t>
  </si>
  <si>
    <t>按模型定义</t>
  </si>
  <si>
    <t>组件热模型</t>
  </si>
  <si>
    <t>IEC 61853-2/论文</t>
  </si>
  <si>
    <t>同场温度拟合</t>
  </si>
  <si>
    <t>不能直接沿用陆地默认值</t>
  </si>
  <si>
    <t>PV-009</t>
  </si>
  <si>
    <t>soilingFactor</t>
  </si>
  <si>
    <t>f_soil</t>
  </si>
  <si>
    <t>污损/盐沉积系数</t>
  </si>
  <si>
    <t>时变参数</t>
  </si>
  <si>
    <t>组件面</t>
  </si>
  <si>
    <t>公开论文/试验</t>
  </si>
  <si>
    <t>清洗前后I-V/盐沉积监测</t>
  </si>
  <si>
    <t>PV-010</t>
  </si>
  <si>
    <t>invEfficiencyCurve</t>
  </si>
  <si>
    <t>η_inv</t>
  </si>
  <si>
    <t>逆变器效率曲线</t>
  </si>
  <si>
    <t>B×2</t>
  </si>
  <si>
    <t>逆变器交流端</t>
  </si>
  <si>
    <t>厂家数据表</t>
  </si>
  <si>
    <t>海上温度/功率实测</t>
  </si>
  <si>
    <t>PV-011</t>
  </si>
  <si>
    <t>maxOperatingWind/Wave</t>
  </si>
  <si>
    <t>v_max/Hs_max</t>
  </si>
  <si>
    <t>环境停机边界</t>
  </si>
  <si>
    <t>m/s,m</t>
  </si>
  <si>
    <t>安全边界</t>
  </si>
  <si>
    <t>支撑系统/认证</t>
  </si>
  <si>
    <t>浮体、连接、系泊安全文件</t>
  </si>
  <si>
    <t>公开抗极限不等于运行阈值</t>
  </si>
  <si>
    <t>TC-001</t>
  </si>
  <si>
    <t>潮流能</t>
  </si>
  <si>
    <t>axialVelocity</t>
  </si>
  <si>
    <t>u</t>
  </si>
  <si>
    <t>有符号轴向流速</t>
  </si>
  <si>
    <t>涨/落潮有符号</t>
  </si>
  <si>
    <t>ADCP/资源数据</t>
  </si>
  <si>
    <t>机位ADCP剖面与坐标</t>
  </si>
  <si>
    <t>必须穿越静水</t>
  </si>
  <si>
    <t>TC-002</t>
  </si>
  <si>
    <t>flowDirection</t>
  </si>
  <si>
    <t>θ_c</t>
  </si>
  <si>
    <t>流向</t>
  </si>
  <si>
    <t>统一坐标</t>
  </si>
  <si>
    <t>Copernicus/ADCP</t>
  </si>
  <si>
    <t>同场流向与机组朝向</t>
  </si>
  <si>
    <t>TC-003</t>
  </si>
  <si>
    <t>turbulenceIntensity</t>
  </si>
  <si>
    <t>TI_c</t>
  </si>
  <si>
    <t>流场湍流强度</t>
  </si>
  <si>
    <t>转子面</t>
  </si>
  <si>
    <t>现场测试/论文</t>
  </si>
  <si>
    <t>ADCP高频数据</t>
  </si>
  <si>
    <t>影响功率与载荷</t>
  </si>
  <si>
    <t>TC-004</t>
  </si>
  <si>
    <t>floodCurveSpeed/PowerPu</t>
  </si>
  <si>
    <t>f_flood(u)</t>
  </si>
  <si>
    <t>涨潮功率曲线</t>
  </si>
  <si>
    <t>m/s,p.u.</t>
  </si>
  <si>
    <t>GB/T 41342/IEC 62600-200</t>
  </si>
  <si>
    <t>现场实测曲线和不确定度</t>
  </si>
  <si>
    <t>TC-005</t>
  </si>
  <si>
    <t>ebbCurveSpeed/PowerPu</t>
  </si>
  <si>
    <t>f_ebb(u)</t>
  </si>
  <si>
    <t>落潮功率曲线</t>
  </si>
  <si>
    <t>不能假定与涨潮相同</t>
  </si>
  <si>
    <t>TC-006</t>
  </si>
  <si>
    <t>directionDeadband</t>
  </si>
  <si>
    <t>u_db</t>
  </si>
  <si>
    <t>换向死区</t>
  </si>
  <si>
    <t>OEM/现场试验</t>
  </si>
  <si>
    <t>换向控制逻辑</t>
  </si>
  <si>
    <t>TC-007</t>
  </si>
  <si>
    <t>reorientationDelay</t>
  </si>
  <si>
    <t>T_ori</t>
  </si>
  <si>
    <t>换向时间</t>
  </si>
  <si>
    <t>状态参数</t>
  </si>
  <si>
    <t>s</t>
  </si>
  <si>
    <t>双向换向实测</t>
  </si>
  <si>
    <t>TC-008</t>
  </si>
  <si>
    <t>wakeVelocityFactor</t>
  </si>
  <si>
    <t>f_wake</t>
  </si>
  <si>
    <t>阵列尾流速度系数</t>
  </si>
  <si>
    <t>机组入流</t>
  </si>
  <si>
    <t>CFD/水池试验</t>
  </si>
  <si>
    <t>阵列实测/布置参数</t>
  </si>
  <si>
    <t>最终不宜用固定常数</t>
  </si>
  <si>
    <t>TC-009</t>
  </si>
  <si>
    <t>biofoulingFactor</t>
  </si>
  <si>
    <t>f_bio</t>
  </si>
  <si>
    <t>生物附着降额</t>
  </si>
  <si>
    <t>运维研究</t>
  </si>
  <si>
    <t>检修前后曲线/清洗记录</t>
  </si>
  <si>
    <t>AGG-001</t>
  </si>
  <si>
    <t>互补聚合</t>
  </si>
  <si>
    <t>sourceCapacity</t>
  </si>
  <si>
    <t>C_i</t>
  </si>
  <si>
    <t>逐源装机容量</t>
  </si>
  <si>
    <t>规划参数</t>
  </si>
  <si>
    <t>1×S</t>
  </si>
  <si>
    <t>容量层</t>
  </si>
  <si>
    <t>规划/OEM</t>
  </si>
  <si>
    <t>合同容量与台数</t>
  </si>
  <si>
    <t>风电85%+仅作为容量情景</t>
  </si>
  <si>
    <t>AGG-002</t>
  </si>
  <si>
    <t>metricWindowsSeconds</t>
  </si>
  <si>
    <t>τ_l</t>
  </si>
  <si>
    <t>互补评价窗口</t>
  </si>
  <si>
    <t>研究参数</t>
  </si>
  <si>
    <t>1×L</t>
  </si>
  <si>
    <t>指标层</t>
  </si>
  <si>
    <t>研究设计</t>
  </si>
  <si>
    <t>按调度/储能时间尺度确认</t>
  </si>
  <si>
    <t>待敏感性分析</t>
  </si>
  <si>
    <t>[假设值，待校准]</t>
  </si>
  <si>
    <t>AGG-003</t>
  </si>
  <si>
    <t>lowOutputFraction</t>
  </si>
  <si>
    <t>α_low</t>
  </si>
  <si>
    <t>低出力阈值比例</t>
  </si>
  <si>
    <t>专家确认/敏感性分析</t>
  </si>
  <si>
    <t>不得包装为设备参数</t>
  </si>
  <si>
    <t>AGG-004</t>
  </si>
  <si>
    <t>firmPowerP05</t>
  </si>
  <si>
    <t>Q0.05</t>
  </si>
  <si>
    <t>经验低分位出力</t>
  </si>
  <si>
    <t>诊断指标</t>
  </si>
  <si>
    <t>时段/窗口</t>
  </si>
  <si>
    <t>统计定义</t>
  </si>
  <si>
    <t>需重命名</t>
  </si>
  <si>
    <t>不得称容量信用/可靠容量</t>
  </si>
  <si>
    <t>BUS-001</t>
  </si>
  <si>
    <t>4.4接口</t>
  </si>
  <si>
    <t>pStorageActual</t>
  </si>
  <si>
    <t>P_st</t>
  </si>
  <si>
    <t>储能实际功率</t>
  </si>
  <si>
    <t>外部输入</t>
  </si>
  <si>
    <t>正放电、负充电</t>
  </si>
  <si>
    <t>公共母线</t>
  </si>
  <si>
    <t>4.5定义</t>
  </si>
  <si>
    <t>储能控制与计量</t>
  </si>
  <si>
    <t>接口冻结</t>
  </si>
  <si>
    <t>BUS-002</t>
  </si>
  <si>
    <t>pExport</t>
  </si>
  <si>
    <t>P_exp</t>
  </si>
  <si>
    <t>电力外送功率</t>
  </si>
  <si>
    <t>决策/测量</t>
  </si>
  <si>
    <t>消耗端取正</t>
  </si>
  <si>
    <t>外送计划/计量</t>
  </si>
  <si>
    <t>海缆计量与计划</t>
  </si>
  <si>
    <t>BUS-003</t>
  </si>
  <si>
    <t>pElectrolyzer</t>
  </si>
  <si>
    <t>P_el</t>
  </si>
  <si>
    <t>制氢用电</t>
  </si>
  <si>
    <t>设备/计量</t>
  </si>
  <si>
    <t>电解槽交流侧测点</t>
  </si>
  <si>
    <t>BUS-004</t>
  </si>
  <si>
    <t>pCompute</t>
  </si>
  <si>
    <t>P_comp</t>
  </si>
  <si>
    <t>算力设施用电</t>
  </si>
  <si>
    <t>设施计量</t>
  </si>
  <si>
    <t>区分IT功率与设施总功率</t>
  </si>
  <si>
    <t>BUS-005</t>
  </si>
  <si>
    <t>pUnservedLoad</t>
  </si>
  <si>
    <t>P_uns</t>
  </si>
  <si>
    <t>可靠性量</t>
  </si>
  <si>
    <t>SLA/负荷优先级</t>
  </si>
  <si>
    <t>接口待校正</t>
  </si>
  <si>
    <t>不得与servedDemand重复计量</t>
  </si>
  <si>
    <t>BUS-006</t>
  </si>
  <si>
    <t>pPostPOILoss</t>
  </si>
  <si>
    <t>P_loss,post</t>
  </si>
  <si>
    <t>公共母线后损耗</t>
  </si>
  <si>
    <t>网络输出</t>
  </si>
  <si>
    <t>海缆/变压器/变流器参数</t>
  </si>
  <si>
    <t>国产参考设备与示范项目基线</t>
  </si>
  <si>
    <t>“确定参考设备”不等于参数已齐全：公开页面仅冻结设备/项目身份和少量额定信息，工程模型仍需OEM、业主和设计院数据。</t>
  </si>
  <si>
    <t>设备ID</t>
  </si>
  <si>
    <t>能源类型</t>
  </si>
  <si>
    <t>国产参考设备/项目</t>
  </si>
  <si>
    <t>单位/开发商</t>
  </si>
  <si>
    <t>公开技术基线</t>
  </si>
  <si>
    <t>建模用途</t>
  </si>
  <si>
    <t>公开可获取内容</t>
  </si>
  <si>
    <t>必须企业交流内容</t>
  </si>
  <si>
    <t>建议定位</t>
  </si>
  <si>
    <t>公开来源URL</t>
  </si>
  <si>
    <t>核验状态</t>
  </si>
  <si>
    <t>DEV-W-01</t>
  </si>
  <si>
    <t>三峡引领号</t>
  </si>
  <si>
    <t>三峡集团/三峡能源</t>
  </si>
  <si>
    <t>5.5MW；三立柱半潜式；含系泊与动态电缆</t>
  </si>
  <si>
    <t>运行型基准：验证漂浮状态机、平台运动与并网接口</t>
  </si>
  <si>
    <t>容量、平台构成、项目投运信息</t>
  </si>
  <si>
    <t>OEM型号全参数、功率曲线、P-Q图、保护阈值、SCADA、平台6DOF与系泊参数</t>
  </si>
  <si>
    <t>首选运行实证基准</t>
  </si>
  <si>
    <t>https://www.ctg.com.cn/sxjt/xwzx55/zhxw23/2024081106422712573/index.html</t>
  </si>
  <si>
    <t>公开来源已核验</t>
  </si>
  <si>
    <t>DEV-W-02</t>
  </si>
  <si>
    <t>明阳OceanX（明阳天成号）</t>
  </si>
  <si>
    <t>明阳智能/中国船级社</t>
  </si>
  <si>
    <t>总容量16.6MW；双转子；2×MySE8.3-180；漂浮平台</t>
  </si>
  <si>
    <t>前沿容量与双机耦合敏感性情景</t>
  </si>
  <si>
    <t>公开容量、结构形式、船级社审图/检验信息</t>
  </si>
  <si>
    <t>完整功率曲线、双转子干扰、控制器、P-Q、辅机、系泊及实测运行数据</t>
  </si>
  <si>
    <t>前沿情景，不替代运行基准</t>
  </si>
  <si>
    <t>https://www.ccs.org.cn/ccswzen/articleDetail?columnId=201920000000000029&amp;id=202407240311485089</t>
  </si>
  <si>
    <t>DEV-PV-01</t>
  </si>
  <si>
    <t>山东半岛南3号深远海漂浮式光伏实证系统</t>
  </si>
  <si>
    <t>国家电投山东公司</t>
  </si>
  <si>
    <t>500kW；2×250kW环形浮体；770块组件；离岸30km、水深30m；接入同场风机平台</t>
  </si>
  <si>
    <t>风光同场拓扑、平台姿态和公共送出基准</t>
  </si>
  <si>
    <t>系统容量、浮体数量、组件数量、接入方式、场址概况</t>
  </si>
  <si>
    <t>组件/逆变器具体型号、I-V/效率矩阵、姿态时序、发电量、故障与损耗</t>
  </si>
  <si>
    <t>首选系统级实证基准</t>
  </si>
  <si>
    <t>https://www.chinapower.hk/sc/media/news-p221115a.php</t>
  </si>
  <si>
    <t>DEV-PV-02</t>
  </si>
  <si>
    <t>400kWp半潜式海上漂浮式光伏平台</t>
  </si>
  <si>
    <t>中集来福士</t>
  </si>
  <si>
    <t>4个浮体方阵；总装机400kWp；半潜式平台</t>
  </si>
  <si>
    <t>不同浮体结构与深远海可扩展性对比</t>
  </si>
  <si>
    <t>容量、平台系统组成、公开尺寸/场址信息</t>
  </si>
  <si>
    <t>结构RAO、系泊、动态载荷、组件与逆变器型号、运行数据</t>
  </si>
  <si>
    <t>平台替代情景</t>
  </si>
  <si>
    <t>https://www.cimc.com/en/index.php?a=show&amp;c=index&amp;catid=17&amp;id=2177&amp;m=content</t>
  </si>
  <si>
    <t>DEV-PV-03</t>
  </si>
  <si>
    <t>Hi-MO 9龙渊/Sea-Shield海光专用组件</t>
  </si>
  <si>
    <t>隆基绿能</t>
  </si>
  <si>
    <t>海洋耐腐蚀场景产品；官方披露通过IEC 61701盐雾等级8级测试</t>
  </si>
  <si>
    <t>组件候选与盐雾/湿热退化参数入口</t>
  </si>
  <si>
    <t>产品定位、公开耐候说明、后续公开数据表</t>
  </si>
  <si>
    <t>确切料号、Pmax、温度系数、IEC 61853矩阵、双面率、海上衰减与质保边界</t>
  </si>
  <si>
    <t>组件候选，需招采前冻结料号</t>
  </si>
  <si>
    <t>https://www.longi.com/cn/news/hi-mo-9-sea-shield/</t>
  </si>
  <si>
    <t>DEV-TC-01</t>
  </si>
  <si>
    <t>LHD第四代1.6MW“奋进号”</t>
  </si>
  <si>
    <t>浙江LHD联合动能/舟山秀山项目</t>
  </si>
  <si>
    <t>1.6MW；水平轴；变桨；双向发电；10kV并网公开报道</t>
  </si>
  <si>
    <t>潮流能主参考设备：涨/落潮曲线、换向状态机和预测接口</t>
  </si>
  <si>
    <t>额定容量、技术路线、项目连续运行信息</t>
  </si>
  <si>
    <t>涨/落潮现场功率曲线、额定流速、切入/保护阈值、换向延迟、P-Q图、辅机、尾流和SCADA</t>
  </si>
  <si>
    <t>首选潮流能运行基准</t>
  </si>
  <si>
    <t>https://zjic.zj.gov.cn/ywdh/nyhj/202604/t20260415_24035056.shtml</t>
  </si>
  <si>
    <t>DEV-TC-02</t>
  </si>
  <si>
    <t>LHD第三代300kW水平轴机组</t>
  </si>
  <si>
    <t>浙江LHD联合动能</t>
  </si>
  <si>
    <t>300kW；水平轴；自研换向；双向发电（公开报道）</t>
  </si>
  <si>
    <t>小容量/分布式阵列敏感性情景</t>
  </si>
  <si>
    <t>代际与容量公开信息</t>
  </si>
  <si>
    <t>完整设备曲线与运行数据</t>
  </si>
  <si>
    <t>备选阵列单元</t>
  </si>
  <si>
    <t>https://www.minge.gov.cn/n1/2026/0427/c415694-40709750.html</t>
  </si>
  <si>
    <t>同场同步环境与运行数据规范</t>
  </si>
  <si>
    <t>频率栏为项目建议值，均标注[建议值]；最终采样频率、传感器精度和同步要求须由企业/场址试验方案冻结。公开再分析用于长期先验，不能替代设备校准。</t>
  </si>
  <si>
    <t>数据ID</t>
  </si>
  <si>
    <t>域</t>
  </si>
  <si>
    <t>变量/数据组</t>
  </si>
  <si>
    <t>原始建议频率</t>
  </si>
  <si>
    <t>统一调度频率</t>
  </si>
  <si>
    <t>空间/垂向要求</t>
  </si>
  <si>
    <t>时间/坐标要求</t>
  </si>
  <si>
    <t>公开数据基线</t>
  </si>
  <si>
    <t>现场/企业数据</t>
  </si>
  <si>
    <t>质量控制</t>
  </si>
  <si>
    <t>用途</t>
  </si>
  <si>
    <t>优先级</t>
  </si>
  <si>
    <t>D-W-01</t>
  </si>
  <si>
    <t>风</t>
  </si>
  <si>
    <t>轮毂高度风速/风向</t>
  </si>
  <si>
    <t>1s或更高[建议值]</t>
  </si>
  <si>
    <t>1min、5/15min、1h多尺度</t>
  </si>
  <si>
    <t>轮毂高度；转子前方或经校正</t>
  </si>
  <si>
    <t>UTC；ENU/机组轴向</t>
  </si>
  <si>
    <t>ERA5 10m/100m风场</t>
  </si>
  <si>
    <t>浮式激光雷达、机舱测风、SCADA</t>
  </si>
  <si>
    <t>缺测、密度、剪切、尾流和机舱传递函数</t>
  </si>
  <si>
    <t>风功率曲线与预测</t>
  </si>
  <si>
    <t>P0</t>
  </si>
  <si>
    <t>D-W-02</t>
  </si>
  <si>
    <t>气温/气压/湿度</t>
  </si>
  <si>
    <t>1min[建议值]</t>
  </si>
  <si>
    <t>5/15min、1h</t>
  </si>
  <si>
    <t>同场代表位置</t>
  </si>
  <si>
    <t>海上气象站</t>
  </si>
  <si>
    <t>量程、漂移、空气密度闭合</t>
  </si>
  <si>
    <t>密度修正</t>
  </si>
  <si>
    <t>P1</t>
  </si>
  <si>
    <t>D-W-03</t>
  </si>
  <si>
    <t>风/平台</t>
  </si>
  <si>
    <t>6DOF姿态、速度、加速度</t>
  </si>
  <si>
    <t>10Hz或更高[建议值]</t>
  </si>
  <si>
    <t>1s统计量+5/15min特征</t>
  </si>
  <si>
    <t>统一平台参考点</t>
  </si>
  <si>
    <t>UTC；右手系；明确欧拉角顺序</t>
  </si>
  <si>
    <t>公开仿真基准/OpenFAST</t>
  </si>
  <si>
    <t>IMU、GNSS、平台控制器</t>
  </si>
  <si>
    <t>零偏、漂移、坐标转换、传感器同步</t>
  </si>
  <si>
    <t>相对风速与动态功率扰动</t>
  </si>
  <si>
    <t>D-O-01</t>
  </si>
  <si>
    <t>海况</t>
  </si>
  <si>
    <t>有效波高Hs、峰值周期Tp、平均波向</t>
  </si>
  <si>
    <t>10min统计/原始高频波面</t>
  </si>
  <si>
    <t>同场浮标；明确水深</t>
  </si>
  <si>
    <t>UTC；方向约定</t>
  </si>
  <si>
    <t>ERA5/Copernicus Marine</t>
  </si>
  <si>
    <t>波浪浮标/雷达</t>
  </si>
  <si>
    <t>与风场/姿态同窗；极端值标记</t>
  </si>
  <si>
    <t>环境停机、平台运动</t>
  </si>
  <si>
    <t>D-PV-01</t>
  </si>
  <si>
    <t>光</t>
  </si>
  <si>
    <t>DNI/DHI/GHI</t>
  </si>
  <si>
    <t>无遮挡同场辐照站</t>
  </si>
  <si>
    <t>UTC；太阳位置一致</t>
  </si>
  <si>
    <t>海上辐照站</t>
  </si>
  <si>
    <t>三分量闭合、夜间归零、结露/盐污</t>
  </si>
  <si>
    <t>POA与PV预测</t>
  </si>
  <si>
    <t>D-PV-02</t>
  </si>
  <si>
    <t>光/平台</t>
  </si>
  <si>
    <t>组件roll/pitch/yaw</t>
  </si>
  <si>
    <t>1—10Hz[建议值]</t>
  </si>
  <si>
    <t>每类浮体代表点</t>
  </si>
  <si>
    <t>UTC；ENU；法向量定义</t>
  </si>
  <si>
    <t>水动力模型先验</t>
  </si>
  <si>
    <t>浮体IMU/结构监测</t>
  </si>
  <si>
    <t>角度跳变、坐标误差、相位同步</t>
  </si>
  <si>
    <t>动态POA与失配</t>
  </si>
  <si>
    <t>D-PV-03</t>
  </si>
  <si>
    <t>组件温度、背板温度、海水温度</t>
  </si>
  <si>
    <t>代表阵列/不同位置</t>
  </si>
  <si>
    <t>ERA5 SST/Copernicus</t>
  </si>
  <si>
    <t>组件温度传感器、海水温度</t>
  </si>
  <si>
    <t>传感器贴附、漂移、遮阴</t>
  </si>
  <si>
    <t>海上热模型校准</t>
  </si>
  <si>
    <t>D-PV-04</t>
  </si>
  <si>
    <t>盐沉积/污损、清洗与腐蚀状态</t>
  </si>
  <si>
    <t>事件+日/周巡检</t>
  </si>
  <si>
    <t>日/周状态量</t>
  </si>
  <si>
    <t>代表组件与材料试片</t>
  </si>
  <si>
    <t>统一维护事件时间</t>
  </si>
  <si>
    <t>公开耐候标准/论文</t>
  </si>
  <si>
    <t>I-V测试、清洗记录、腐蚀监测</t>
  </si>
  <si>
    <t>清洗前后对照、工单一致性</t>
  </si>
  <si>
    <t>退化与可用率</t>
  </si>
  <si>
    <t>D-TC-01</t>
  </si>
  <si>
    <t>潮流</t>
  </si>
  <si>
    <t>有符号流速/流向剖面</t>
  </si>
  <si>
    <t>1Hz或仪器原始[建议值]</t>
  </si>
  <si>
    <t>1min、5/15min、1h</t>
  </si>
  <si>
    <t>ADCP多深度；转子扫掠面</t>
  </si>
  <si>
    <t>UTC；地理→机组轴向坐标</t>
  </si>
  <si>
    <t>Copernicus Marine/公开潮汐产品</t>
  </si>
  <si>
    <t>机位ADCP原始数据</t>
  </si>
  <si>
    <t>磁偏角、侧叶、底回波、静水段</t>
  </si>
  <si>
    <t>涨落潮功率曲线</t>
  </si>
  <si>
    <t>D-TC-02</t>
  </si>
  <si>
    <t>湍流强度、剪切、波流夹角</t>
  </si>
  <si>
    <t>原始高频</t>
  </si>
  <si>
    <t>10min统计+5/15min</t>
  </si>
  <si>
    <t>转子扫掠面</t>
  </si>
  <si>
    <t>UTC；与波浪同窗</t>
  </si>
  <si>
    <t>公开论文/区域模型</t>
  </si>
  <si>
    <t>ADCP高频、载荷监测</t>
  </si>
  <si>
    <t>有效样本比例与方向扇区</t>
  </si>
  <si>
    <t>载荷、功率和尾流</t>
  </si>
  <si>
    <t>D-SYS-01</t>
  </si>
  <si>
    <t>电气</t>
  </si>
  <si>
    <t>设备端P/Q、电压、电流、频率</t>
  </si>
  <si>
    <t>100ms—1s[建议值]</t>
  </si>
  <si>
    <t>1s、5/15min、1h</t>
  </si>
  <si>
    <t>MP-01与MP-03同时计量</t>
  </si>
  <si>
    <t>UTC；统一符号</t>
  </si>
  <si>
    <t>无可替代公开实测</t>
  </si>
  <si>
    <t>SCADA/电能质量记录</t>
  </si>
  <si>
    <t>时钟偏差、CT/PT倍率、坏点</t>
  </si>
  <si>
    <t>曲线、P-Q、损耗与验证</t>
  </si>
  <si>
    <t>D-SYS-02</t>
  </si>
  <si>
    <t>控制</t>
  </si>
  <si>
    <t>requested/accepted/actual、状态与告警</t>
  </si>
  <si>
    <t>控制器原始周期</t>
  </si>
  <si>
    <t>1s、5/15min</t>
  </si>
  <si>
    <t>UTC；统一状态码</t>
  </si>
  <si>
    <t>无公开替代</t>
  </si>
  <si>
    <t>EMS/AGC/PLC日志</t>
  </si>
  <si>
    <t>请求—反馈时延、状态互斥</t>
  </si>
  <si>
    <t>闭环模型与约束原因</t>
  </si>
  <si>
    <t>D-SYS-03</t>
  </si>
  <si>
    <t>损耗</t>
  </si>
  <si>
    <t>辅机、分支电表、变压器/电缆损耗</t>
  </si>
  <si>
    <t>1s—1min[建议值]</t>
  </si>
  <si>
    <t>MP-01/02/03/04</t>
  </si>
  <si>
    <t>UTC；计量边界一致</t>
  </si>
  <si>
    <t>设计公式与典型值</t>
  </si>
  <si>
    <t>分项电表、设计参数、试验报告</t>
  </si>
  <si>
    <t>能量对账、同期计量、重复扣损检查</t>
  </si>
  <si>
    <t>冻结损耗模型</t>
  </si>
  <si>
    <t>D-SYS-04</t>
  </si>
  <si>
    <t>可靠性</t>
  </si>
  <si>
    <t>故障、检修、复归、MTBF/MTTR</t>
  </si>
  <si>
    <t>事件级</t>
  </si>
  <si>
    <t>事件+小时状态</t>
  </si>
  <si>
    <t>UTC；事件起止闭合</t>
  </si>
  <si>
    <t>公开报告仅作先验</t>
  </si>
  <si>
    <t>CMMS/工单/故障码</t>
  </si>
  <si>
    <t>重复工单、计划/非计划区分</t>
  </si>
  <si>
    <t>可用率和状态机</t>
  </si>
  <si>
    <t>D-QC-01</t>
  </si>
  <si>
    <t>统一时间主表与质量码</t>
  </si>
  <si>
    <t>原始分辨率保留</t>
  </si>
  <si>
    <t>多尺度派生表</t>
  </si>
  <si>
    <t>同一场址/同一时间窗</t>
  </si>
  <si>
    <t>UTC；WGS84+ENU；垂向基准</t>
  </si>
  <si>
    <t>公开数据元数据</t>
  </si>
  <si>
    <t>现场传感器元数据</t>
  </si>
  <si>
    <t>禁止跨缺口插值计算爬坡；记录覆盖率</t>
  </si>
  <si>
    <t>联合场景与互补性</t>
  </si>
  <si>
    <t>公开标准若只有目录/范围而无全文，只能记为“来源已核验”，不能声称公式已逐条核验；企业校准项未取得前统一标注待企业数据。</t>
  </si>
  <si>
    <t>证据ID</t>
  </si>
  <si>
    <t>公式/参数/设备</t>
  </si>
  <si>
    <t>当前表达/用途</t>
  </si>
  <si>
    <t>证据类型</t>
  </si>
  <si>
    <t>首选公开依据</t>
  </si>
  <si>
    <t>公开URL</t>
  </si>
  <si>
    <t>公开证据状态</t>
  </si>
  <si>
    <t>企业校准项</t>
  </si>
  <si>
    <t>校准状态</t>
  </si>
  <si>
    <t>可接受替代</t>
  </si>
  <si>
    <t>正文标注</t>
  </si>
  <si>
    <t>E-W-01</t>
  </si>
  <si>
    <t>风电</t>
  </si>
  <si>
    <t>实测功率曲线 P=f(v)</t>
  </si>
  <si>
    <t>标准+OEM曲线</t>
  </si>
  <si>
    <t>IEC 61400-12-1:2022</t>
  </si>
  <si>
    <t>https://webstore.iec.ch/en/publication/68499</t>
  </si>
  <si>
    <t>标准元数据已核验；全文待取得</t>
  </si>
  <si>
    <t>实际型号曲线、空气密度/湍流/控制版本</t>
  </si>
  <si>
    <t>待企业数据</t>
  </si>
  <si>
    <t>公开参考机组曲线仅作占位</t>
  </si>
  <si>
    <t>标准/厂家资料</t>
  </si>
  <si>
    <t>E-W-02</t>
  </si>
  <si>
    <t>漂浮式耦合与相对风速</t>
  </si>
  <si>
    <t>考虑纵荡/纵摇引起的入流变化</t>
  </si>
  <si>
    <t>标准/耦合仿真</t>
  </si>
  <si>
    <t>GB/Z 44047-2024；GB/T 47558-2026</t>
  </si>
  <si>
    <t>https://std.samr.gov.cn/gb/search/gbDetailed?id=DB44E046AA194E6FE05397BE0A0A72F4</t>
  </si>
  <si>
    <t>适用范围已核验</t>
  </si>
  <si>
    <t>平台6DOF、控制器、系泊/水动力参数</t>
  </si>
  <si>
    <t>OpenFAST公开参考模型</t>
  </si>
  <si>
    <t>[需查证文献支撑]直至取得原文</t>
  </si>
  <si>
    <t>E-W-03</t>
  </si>
  <si>
    <t>切出/复归状态机</t>
  </si>
  <si>
    <t>环境超限停机与延时复归</t>
  </si>
  <si>
    <t>GB/Z 44047-2024提供设计边界框架</t>
  </si>
  <si>
    <t>公开标准不提供具体阈值</t>
  </si>
  <si>
    <t>cut-out/restart/delay与台风策略</t>
  </si>
  <si>
    <t>参数化状态机+敏感性分析</t>
  </si>
  <si>
    <t>[假设值，待企业调研校准]</t>
  </si>
  <si>
    <t>E-W-04</t>
  </si>
  <si>
    <t>P-Q能力与爬坡</t>
  </si>
  <si>
    <t>向EMS提供可行域</t>
  </si>
  <si>
    <t>公开标准只能提供一般要求</t>
  </si>
  <si>
    <t>缺口明确</t>
  </si>
  <si>
    <t>P-Q图、AGC响应、动态限值</t>
  </si>
  <si>
    <t>额定视在功率圆仅作初测</t>
  </si>
  <si>
    <t>[需企业试验数据]</t>
  </si>
  <si>
    <t>E-W-05</t>
  </si>
  <si>
    <t>三峡引领号5.5MW</t>
  </si>
  <si>
    <t>运行型国产基准</t>
  </si>
  <si>
    <t>业主官网</t>
  </si>
  <si>
    <t>三峡集团项目页面</t>
  </si>
  <si>
    <t>项目身份与容量已核验</t>
  </si>
  <si>
    <t>OEM型号、曲线、SCADA与平台参数</t>
  </si>
  <si>
    <t>公开NREL参考机组用于算法测试</t>
  </si>
  <si>
    <t>政府/企业官网</t>
  </si>
  <si>
    <t>E-W-06</t>
  </si>
  <si>
    <t>OceanX 16.6MW</t>
  </si>
  <si>
    <t>前沿情景</t>
  </si>
  <si>
    <t>船级社/企业官网</t>
  </si>
  <si>
    <t>中国船级社</t>
  </si>
  <si>
    <t>容量和平台身份已核验</t>
  </si>
  <si>
    <t>双转子耦合、曲线、控制器、运行数据</t>
  </si>
  <si>
    <t>仅做容量/拓扑敏感性情景</t>
  </si>
  <si>
    <t>E-PV-01</t>
  </si>
  <si>
    <t>光伏</t>
  </si>
  <si>
    <t>POA辐照几何</t>
  </si>
  <si>
    <t>太阳向量·动态法向量</t>
  </si>
  <si>
    <t>几何定义+论文</t>
  </si>
  <si>
    <t>IEC 61853-2涉及入射角与温度测量</t>
  </si>
  <si>
    <t>https://webstore.iec.ch/en/publication/25811</t>
  </si>
  <si>
    <t>标准范围已核验</t>
  </si>
  <si>
    <t>平台姿态与遮挡/反射实测</t>
  </si>
  <si>
    <t>公开太阳位置算法+现场校准</t>
  </si>
  <si>
    <t>核心期刊/标准</t>
  </si>
  <si>
    <t>E-PV-02</t>
  </si>
  <si>
    <t>Pdc=f(G,T)</t>
  </si>
  <si>
    <t>国际标准+OEM</t>
  </si>
  <si>
    <t>IEC 61853-1</t>
  </si>
  <si>
    <t>https://webstore.iec.ch/en/publication/6035</t>
  </si>
  <si>
    <t>实际料号功率矩阵/Flash数据</t>
  </si>
  <si>
    <t>铭牌gammaP简化模型</t>
  </si>
  <si>
    <t>E-PV-03</t>
  </si>
  <si>
    <t>组件温度模型</t>
  </si>
  <si>
    <t>Tmodule=f(G,Ta,wind)</t>
  </si>
  <si>
    <t>标准/论文+实测</t>
  </si>
  <si>
    <t>海水冷却条件下U0/U1或等价系数</t>
  </si>
  <si>
    <t>待同场拟合</t>
  </si>
  <si>
    <t>Faiman公开先验</t>
  </si>
  <si>
    <t>E-PV-04</t>
  </si>
  <si>
    <t>盐雾/污损/退化</t>
  </si>
  <si>
    <t>时变降额因子</t>
  </si>
  <si>
    <t>试验标准+企业实证</t>
  </si>
  <si>
    <t>NB/T 11744-2024、NB/T 11814-2025及组件耐候资料</t>
  </si>
  <si>
    <t>https://std.samr.gov.cn/hb/search/stdHBDetailed?id=2F81627D7762EED8E06397BE0A0A71A7</t>
  </si>
  <si>
    <t>公开标准提供要求而非现场降额函数</t>
  </si>
  <si>
    <t>海上I-V、清洗、腐蚀和衰减记录</t>
  </si>
  <si>
    <t>区间场景/敏感性</t>
  </si>
  <si>
    <t>[需查证文献支撑]</t>
  </si>
  <si>
    <t>E-PV-05</t>
  </si>
  <si>
    <t>半岛南3号500kW系统</t>
  </si>
  <si>
    <t>风光同场系统基准</t>
  </si>
  <si>
    <t>业主/上市公司官网</t>
  </si>
  <si>
    <t>中国电力国际/国家电投项目新闻</t>
  </si>
  <si>
    <t>容量、结构和接入已核验</t>
  </si>
  <si>
    <t>组件/逆变器型号、姿态、功率和故障数据</t>
  </si>
  <si>
    <t>中集400kWp平台作结构对比</t>
  </si>
  <si>
    <t>企业官网</t>
  </si>
  <si>
    <t>E-PV-06</t>
  </si>
  <si>
    <t>隆基Hi-MO 9龙渊组件</t>
  </si>
  <si>
    <t>海光组件候选</t>
  </si>
  <si>
    <t>隆基绿能官方产品介绍</t>
  </si>
  <si>
    <t>海光定位与公开耐候信息已核验</t>
  </si>
  <si>
    <t>冻结具体料号、数据表、61853矩阵和海上衰减</t>
  </si>
  <si>
    <t>待选型</t>
  </si>
  <si>
    <t>同等级海光组件经招标替换</t>
  </si>
  <si>
    <t>企业官网/认证报告</t>
  </si>
  <si>
    <t>E-TC-01</t>
  </si>
  <si>
    <t>功率曲线评估</t>
  </si>
  <si>
    <t>P=f(u)</t>
  </si>
  <si>
    <t>国际/国家标准</t>
  </si>
  <si>
    <t>IEC TS 62600-200；GB/T 41342-2022</t>
  </si>
  <si>
    <t>https://std.samr.gov.cn/gb/search/gbDetailed?id=DAB8B40046FB896BE05397BE0A0A0B32</t>
  </si>
  <si>
    <t>标准身份与范围已核验</t>
  </si>
  <si>
    <t>现场涨/落潮功率曲线和不确定度</t>
  </si>
  <si>
    <t>公开试验曲线仅作占位</t>
  </si>
  <si>
    <t>国家标准/IEC</t>
  </si>
  <si>
    <t>E-TC-02</t>
  </si>
  <si>
    <t>涨/落潮分曲线与换向</t>
  </si>
  <si>
    <t>有符号流速、换向死区和延迟</t>
  </si>
  <si>
    <t>设备控制+现场试验</t>
  </si>
  <si>
    <t>LHD公开技术路线仅证明双向/变桨</t>
  </si>
  <si>
    <t>项目能力公开，具体参数缺失</t>
  </si>
  <si>
    <t>两向曲线、换向逻辑、静水段数据</t>
  </si>
  <si>
    <t>参数化状态机+敏感性</t>
  </si>
  <si>
    <t>E-TC-03</t>
  </si>
  <si>
    <t>尾流/阵列影响</t>
  </si>
  <si>
    <t>u_eff=u×f_wake</t>
  </si>
  <si>
    <t>CFD/试验/实测</t>
  </si>
  <si>
    <t>核心期刊与IEC阵列研究</t>
  </si>
  <si>
    <t>文献检索待深化</t>
  </si>
  <si>
    <t>阵列布置、ADCP、机组间功率</t>
  </si>
  <si>
    <t>待检索/企业数据</t>
  </si>
  <si>
    <t>CFD先验+实测校准</t>
  </si>
  <si>
    <t>E-TC-04</t>
  </si>
  <si>
    <t>f_bio(t)</t>
  </si>
  <si>
    <t>运维记录+试验</t>
  </si>
  <si>
    <t>公开论文仅给机制</t>
  </si>
  <si>
    <t>无可直接迁移的设备函数</t>
  </si>
  <si>
    <t>清洗周期、检修前后曲线</t>
  </si>
  <si>
    <t>区间假设</t>
  </si>
  <si>
    <t>P2</t>
  </si>
  <si>
    <t>E-TC-05</t>
  </si>
  <si>
    <t>LHD奋进号1.6MW</t>
  </si>
  <si>
    <t>国产运行基准</t>
  </si>
  <si>
    <t>政府/权威报道</t>
  </si>
  <si>
    <t>浙江省经济信息中心</t>
  </si>
  <si>
    <t>容量、水平轴/变桨/双向和并网信息已核验</t>
  </si>
  <si>
    <t>设备全参数、SCADA、辅机、P-Q和故障数据</t>
  </si>
  <si>
    <t>GB/T 41342标准代理曲线</t>
  </si>
  <si>
    <t>政府官网</t>
  </si>
  <si>
    <t>E-COM-01</t>
  </si>
  <si>
    <t>集电损耗</t>
  </si>
  <si>
    <t>P_loss=f(I,R,U,拓扑)</t>
  </si>
  <si>
    <t>电路守恒+设计模型</t>
  </si>
  <si>
    <t>工程设计规范/潮流计算</t>
  </si>
  <si>
    <t>公式结构明确，线路参数缺失</t>
  </si>
  <si>
    <t>电缆R/X、长度、变压器空载/负载损耗、潮流</t>
  </si>
  <si>
    <t>分段线性损耗+上下界</t>
  </si>
  <si>
    <t>项目定义/设计院</t>
  </si>
  <si>
    <t>E-COM-02</t>
  </si>
  <si>
    <t>源侧辅机</t>
  </si>
  <si>
    <t>运行/待机状态相关负荷</t>
  </si>
  <si>
    <t>计量+厂用电设计</t>
  </si>
  <si>
    <t>公开资料仅给设备类别</t>
  </si>
  <si>
    <t>缺少真实数值</t>
  </si>
  <si>
    <t>分项电表、运行模式和温度相关性</t>
  </si>
  <si>
    <t>占额定容量比例仅作假设</t>
  </si>
  <si>
    <t>E-COM-03</t>
  </si>
  <si>
    <t>多源聚合守恒</t>
  </si>
  <si>
    <t>Psrc=ΣPi</t>
  </si>
  <si>
    <t>项目变量定义/守恒</t>
  </si>
  <si>
    <t>同一测点定义</t>
  </si>
  <si>
    <t>测点一致性与计量对账</t>
  </si>
  <si>
    <t>待现场验证</t>
  </si>
  <si>
    <t>无</t>
  </si>
  <si>
    <t>E-COM-04</t>
  </si>
  <si>
    <t>联合场景</t>
  </si>
  <si>
    <t>保留时间持续性和源间相关性</t>
  </si>
  <si>
    <t>核心期刊方法+同场数据</t>
  </si>
  <si>
    <t>Copula/分位数/时序场景文献待定向检索</t>
  </si>
  <si>
    <t>方法未最终选定</t>
  </si>
  <si>
    <t>同场风光流浪历史与预测误差</t>
  </si>
  <si>
    <t>待数据</t>
  </si>
  <si>
    <t>历史块重采样基线</t>
  </si>
  <si>
    <t>E-COM-05</t>
  </si>
  <si>
    <t>P05低分位出力</t>
  </si>
  <si>
    <t>经验低分位诊断</t>
  </si>
  <si>
    <t>统计学定义/互补性文献</t>
  </si>
  <si>
    <t>定义可用</t>
  </si>
  <si>
    <t>时间窗与阈值敏感性</t>
  </si>
  <si>
    <t>待分析</t>
  </si>
  <si>
    <t>不得替代ELCC</t>
  </si>
  <si>
    <t>项目指标/核心期刊</t>
  </si>
  <si>
    <t>E-DATA-01</t>
  </si>
  <si>
    <t>数据</t>
  </si>
  <si>
    <t>ERA5小时再分析</t>
  </si>
  <si>
    <t>风、辐照、温度、波浪长期先验</t>
  </si>
  <si>
    <t>开放数据</t>
  </si>
  <si>
    <t>Copernicus Climate Data Store</t>
  </si>
  <si>
    <t>https://cds.climate.copernicus.eu/datasets/reanalysis-era5-single-levels?tab=download</t>
  </si>
  <si>
    <t>已核验</t>
  </si>
  <si>
    <t>用同场观测作偏差订正</t>
  </si>
  <si>
    <t>待场址</t>
  </si>
  <si>
    <t>NASA POWER交叉核对辐照</t>
  </si>
  <si>
    <t>开放科学数据</t>
  </si>
  <si>
    <t>E-DATA-02</t>
  </si>
  <si>
    <t>Copernicus Marine</t>
  </si>
  <si>
    <t>海流/波浪/水温长期先验</t>
  </si>
  <si>
    <t>Copernicus Marine Data Store</t>
  </si>
  <si>
    <t>https://data.marine.copernicus.eu/</t>
  </si>
  <si>
    <t>ADCP/浮标偏差订正</t>
  </si>
  <si>
    <t>国家/科研海洋数据平台</t>
  </si>
  <si>
    <t>E-DATA-03</t>
  </si>
  <si>
    <t>NASA POWER</t>
  </si>
  <si>
    <t>太阳辐照与气象交叉基线</t>
  </si>
  <si>
    <t>https://power.larc.nasa.gov/</t>
  </si>
  <si>
    <t>海上辐照站校准</t>
  </si>
  <si>
    <t>ERA5</t>
  </si>
  <si>
    <t>政府开放数据</t>
  </si>
  <si>
    <t>企业交流/数据室取数清单</t>
  </si>
  <si>
    <t>P0项决定模型能否从“通用代理”升级为“项目设备可落地模型”。本版新增：标定与版本、预测归档、事件标签、阵列/拓扑损耗、极端天气、独立验证和不确定度闭环。</t>
  </si>
  <si>
    <t>访谈ID</t>
  </si>
  <si>
    <t>对象</t>
  </si>
  <si>
    <t>必须获取的数据/文件</t>
  </si>
  <si>
    <t>为什么公开资料不能替代</t>
  </si>
  <si>
    <t>最小时间/空间粒度</t>
  </si>
  <si>
    <t>保密建议</t>
  </si>
  <si>
    <t>可接受降级替代</t>
  </si>
  <si>
    <t>对应变量/证据</t>
  </si>
  <si>
    <t>状态</t>
  </si>
  <si>
    <t>ASK-W-01</t>
  </si>
  <si>
    <t>风机OEM</t>
  </si>
  <si>
    <t>实际型号功率曲线及不确定度、空气密度/湍流/控制版本说明</t>
  </si>
  <si>
    <t>公开页面通常只有额定容量，不含完整曲线和适用条件</t>
  </si>
  <si>
    <t>风速分箱曲线+测试报告</t>
  </si>
  <si>
    <t>NDA后数据室；可匿名化型号</t>
  </si>
  <si>
    <t>公开参考机组曲线+区间敏感性</t>
  </si>
  <si>
    <t>W-005/006,E-W-01</t>
  </si>
  <si>
    <t>未发起</t>
  </si>
  <si>
    <t>ASK-W-02</t>
  </si>
  <si>
    <t>风机OEM/业主</t>
  </si>
  <si>
    <t>P-Q能力图、AGC/AVC响应、爬坡和保护阈值</t>
  </si>
  <si>
    <t>决定4.3可行域，无法由额定视在功率可靠推得</t>
  </si>
  <si>
    <t>不同有功/电压工况</t>
  </si>
  <si>
    <t>可仅提供包络和匿名试验结果</t>
  </si>
  <si>
    <t>简化圆形边界并明确假设</t>
  </si>
  <si>
    <t>SRC-011—014,E-W-03/04</t>
  </si>
  <si>
    <t>ASK-W-03</t>
  </si>
  <si>
    <t>浮体/系泊设计方</t>
  </si>
  <si>
    <t>平台6DOF、RAO、系泊刚度、控制器及极端/运行海况边界</t>
  </si>
  <si>
    <t>浮式耦合与环境停机的核心参数</t>
  </si>
  <si>
    <t>频域RAO+典型时域工况</t>
  </si>
  <si>
    <t>可提供降阶模型</t>
  </si>
  <si>
    <t>OpenFAST公开平台先验</t>
  </si>
  <si>
    <t>W-003/004,E-W-02</t>
  </si>
  <si>
    <t>ASK-W-04</t>
  </si>
  <si>
    <t>风场业主</t>
  </si>
  <si>
    <t>同场风浪、机组SCADA、状态码、功率、辅机和故障工单</t>
  </si>
  <si>
    <t>用于校准与独立验证</t>
  </si>
  <si>
    <t>≥1年，原始1s/10min并保留事件</t>
  </si>
  <si>
    <t>脱敏、仅输出统计或安全沙箱</t>
  </si>
  <si>
    <t>公开再分析+合成状态</t>
  </si>
  <si>
    <t>D-W/D-SYS,E-W-05</t>
  </si>
  <si>
    <t>ASK-PV-01</t>
  </si>
  <si>
    <t>漂浮光伏业主/EPC</t>
  </si>
  <si>
    <t>半岛南3号或同类项目组件、逆变器、浮体和系泊具体型号</t>
  </si>
  <si>
    <t>公开项目介绍没有设备料号</t>
  </si>
  <si>
    <t>设备清单/竣工图/单线图</t>
  </si>
  <si>
    <t>NDA；可隐去价格和供应商</t>
  </si>
  <si>
    <t>同级公开产品数据表</t>
  </si>
  <si>
    <t>ASK-PV-02</t>
  </si>
  <si>
    <t>组件厂家</t>
  </si>
  <si>
    <t>IEC 61853矩阵、温度系数、IAM、双面率、盐雾/湿热试验及海上衰减</t>
  </si>
  <si>
    <t>海光产品宣传不能直接变成时变降额函数</t>
  </si>
  <si>
    <t>批次数据+试验报告</t>
  </si>
  <si>
    <t>可提供认证摘要和参数区间</t>
  </si>
  <si>
    <t>公开铭牌+IEC基线</t>
  </si>
  <si>
    <t>PV-006—009,E-PV-02/04/06</t>
  </si>
  <si>
    <t>ASK-PV-03</t>
  </si>
  <si>
    <t>平台/业主</t>
  </si>
  <si>
    <t>姿态、波浪、辐照、组件温度、DC/AC功率同步数据</t>
  </si>
  <si>
    <t>海水冷却、动态POA和失配必须同场辨识</t>
  </si>
  <si>
    <t>1s—1min原始，≥1年/典型季节</t>
  </si>
  <si>
    <t>可提供代表浮体和匿名时间序列</t>
  </si>
  <si>
    <t>水动力仿真+公开气象</t>
  </si>
  <si>
    <t>D-PV,E-PV-01/03/05</t>
  </si>
  <si>
    <t>ASK-PV-04</t>
  </si>
  <si>
    <t>逆变器/EPC</t>
  </si>
  <si>
    <t>效率曲线、削顶、无功能力、保护/复归与辅机</t>
  </si>
  <si>
    <t>决定AC输出及P-Q边界</t>
  </si>
  <si>
    <t>负荷率/温度二维曲线</t>
  </si>
  <si>
    <t>参数包络即可</t>
  </si>
  <si>
    <t>公开数据表</t>
  </si>
  <si>
    <t>PV-010/011,SRC-011/012</t>
  </si>
  <si>
    <t>ASK-TC-01</t>
  </si>
  <si>
    <t>LHD/潮流能业主</t>
  </si>
  <si>
    <t>涨潮/落潮功率曲线、额定流速、切入/切出和不确定度</t>
  </si>
  <si>
    <t>公开报道只有容量与技术路线</t>
  </si>
  <si>
    <t>按GB/T 41342分箱报告</t>
  </si>
  <si>
    <t>NDA；可归一化p.u.曲线</t>
  </si>
  <si>
    <t>IEC/GB测试方法+代理曲线</t>
  </si>
  <si>
    <t>TC-004/005,E-TC-01/05</t>
  </si>
  <si>
    <t>ASK-TC-02</t>
  </si>
  <si>
    <t>LHD/控制器方</t>
  </si>
  <si>
    <t>换向死区、换向时间、变桨控制、P-Q、爬坡和环境保护</t>
  </si>
  <si>
    <t>状态机与EMS接口核心</t>
  </si>
  <si>
    <t>事件日志+控制包络</t>
  </si>
  <si>
    <t>可匿名化控制参数</t>
  </si>
  <si>
    <t>参数化状态机敏感性</t>
  </si>
  <si>
    <t>TC-006/007,E-TC-02</t>
  </si>
  <si>
    <t>ASK-TC-03</t>
  </si>
  <si>
    <t>潮流能业主/海洋测量方</t>
  </si>
  <si>
    <t>机位ADCP剖面、波流、湍流、阵列布置和逐机功率</t>
  </si>
  <si>
    <t>区域再分析分辨率不足以校准转子入流/尾流</t>
  </si>
  <si>
    <t>原始ADCP+1min/10min产品</t>
  </si>
  <si>
    <t>空间坐标可模糊化</t>
  </si>
  <si>
    <t>Copernicus+公开潮汐模型</t>
  </si>
  <si>
    <t>D-TC,E-TC-03</t>
  </si>
  <si>
    <t>ASK-TC-04</t>
  </si>
  <si>
    <t>潮流能运维方</t>
  </si>
  <si>
    <t>辅机、故障、检修、生物附着和清洗前后性能</t>
  </si>
  <si>
    <t>公开论文无法迁移成真实降额函数</t>
  </si>
  <si>
    <t>事件级+月度性能</t>
  </si>
  <si>
    <t>脱敏工单/统计分布</t>
  </si>
  <si>
    <t>TC-009,E-TC-04</t>
  </si>
  <si>
    <t>ASK-E-01</t>
  </si>
  <si>
    <t>设计院/电气总包</t>
  </si>
  <si>
    <t>单线图、计量点、电缆R/X/长度、变压器空载/负载损耗和潮流结果</t>
  </si>
  <si>
    <t>测点与损耗边界必须按工程拓扑确定</t>
  </si>
  <si>
    <t>设备/分支级</t>
  </si>
  <si>
    <t>NDA；可只给等值参数</t>
  </si>
  <si>
    <t>典型参数+上下界</t>
  </si>
  <si>
    <t>COM-004,SRC-002,BUS-006,E-COM-01</t>
  </si>
  <si>
    <t>ASK-E-02</t>
  </si>
  <si>
    <t>业主/SCADA</t>
  </si>
  <si>
    <t>MP-01/03/04同期P/Q/电压/电流/辅机电量</t>
  </si>
  <si>
    <t>用于能量对账并发现重复扣损</t>
  </si>
  <si>
    <t>1s—1min+月度结算表</t>
  </si>
  <si>
    <t>匿名时间序列/汇总</t>
  </si>
  <si>
    <t>设计损耗模型</t>
  </si>
  <si>
    <t>SRC-002/006/007,D-SYS-03</t>
  </si>
  <si>
    <t>ASK-EMS-01</t>
  </si>
  <si>
    <t>EMS/调度厂商</t>
  </si>
  <si>
    <t>requested/accepted/actual协议、刷新周期、时延、质量码和限幅原因</t>
  </si>
  <si>
    <t>V2字段无法形成真实闭环</t>
  </si>
  <si>
    <t>控制器原始周期+统一1s</t>
  </si>
  <si>
    <t>接口文档可脱敏</t>
  </si>
  <si>
    <t>项目自定义接口</t>
  </si>
  <si>
    <t>SRC-004—006/010/011</t>
  </si>
  <si>
    <t>ASK-D-01</t>
  </si>
  <si>
    <t>业主/场址勘测</t>
  </si>
  <si>
    <t>同场同步风、光、流、浪、温度和潮位数据及传感器元数据</t>
  </si>
  <si>
    <t>分别使用不同数据源会破坏源间相关性</t>
  </si>
  <si>
    <t>至少完整一年；保留高频原始与小时产品</t>
  </si>
  <si>
    <t>坐标模糊化、时间平移或安全沙箱</t>
  </si>
  <si>
    <t>ERA5+Copernicus+NASA POWER联合先验</t>
  </si>
  <si>
    <t>D-QC-01,E-DATA</t>
  </si>
  <si>
    <t>ASK-DG-01</t>
  </si>
  <si>
    <t>业主/计量与数据平台主管</t>
  </si>
  <si>
    <t>全部环境、SCADA、计量测点的传感器型号、量程、精度等级、校准证书、安装坐标/高度/深度、时钟同步方式及漂移记录</t>
  </si>
  <si>
    <t>公开数据无法证明测点可比性和误差边界；直接影响参数校准与不确定度</t>
  </si>
  <si>
    <t>设备级元数据；每次校准/更换形成版本</t>
  </si>
  <si>
    <t>证书编号可脱敏；保留精度与有效期</t>
  </si>
  <si>
    <t>IEC/GB测量等级作为下限，不能替代项目证书</t>
  </si>
  <si>
    <t>QC-001，D-DATA，所有环境/功率变量</t>
  </si>
  <si>
    <t>ASK-FCST-01</t>
  </si>
  <si>
    <t>业主/预测服务商/EMS</t>
  </si>
  <si>
    <t>日前、日内、超短期风光潮预测档案：发布时间、预测时域、模型版本、概率分位/场景、实测值及可用性标签</t>
  </si>
  <si>
    <t>4.9随机/滚动优化必须使用当时可获得的预测，不能用事后实测替代</t>
  </si>
  <si>
    <t>原始发布时间；1min/15min/1h；至少完整一年</t>
  </si>
  <si>
    <t>可匿名预测商与模型；保留版本和误差</t>
  </si>
  <si>
    <t>ERA5等可生成基线预测，但不能替代生产预测误差</t>
  </si>
  <si>
    <t>pForecastAvailable，forecastError，scenarioId</t>
  </si>
  <si>
    <t>ASK-LBL-01</t>
  </si>
  <si>
    <t>业主/SCADA/运维</t>
  </si>
  <si>
    <t>统一且互斥的事件标签：资源不足、EMS限发、电网限送、故障、检修、环境保护、通信丢失、降额、跟踪误差及起止时间</t>
  </si>
  <si>
    <t>不分离事件会把限发和故障误拟合为资源—功率曲线</t>
  </si>
  <si>
    <t>事件级，秒/分钟时间戳；与功率同步</t>
  </si>
  <si>
    <t>故障文字可编码化；仅保留类别和持续时间</t>
  </si>
  <si>
    <t>公开资料只能给分类框架</t>
  </si>
  <si>
    <t>stateFlag，curtailmentFlag，availability，lossCause</t>
  </si>
  <si>
    <t>ASK-CFG-01</t>
  </si>
  <si>
    <t>各设备OEM/业主</t>
  </si>
  <si>
    <t>投运、固件/控制器、功率曲线、组件/机组更换、改造、阵列布局变化及参数集版本历史</t>
  </si>
  <si>
    <t>同一设备跨版本不能直接合并校准；需追溯每段数据采用的参数集</t>
  </si>
  <si>
    <t>每次变更事件；parameterSetId关联到时间段</t>
  </si>
  <si>
    <t>可隐藏固件细节，仅给版本号和生效时间</t>
  </si>
  <si>
    <t>公开资料通常只有当前版本</t>
  </si>
  <si>
    <t>parameterSetId，validFrom/To，assetConfigId</t>
  </si>
  <si>
    <t>ASK-EXT-01</t>
  </si>
  <si>
    <t>业主/OEM/海洋预报方</t>
  </si>
  <si>
    <t>台风、极端浪流、高温、盐雾等事件下的预警—降额—停机—重启—恢复全过程及阈值</t>
  </si>
  <si>
    <t>4.3运行状态机和4.9韧性场景需基于真实恢复序列</t>
  </si>
  <si>
    <t>事件前后1s/1min；完整事件包</t>
  </si>
  <si>
    <t>阈值可区间化；事件可编号匿名</t>
  </si>
  <si>
    <t>公开台风路径可作环境输入，不能替代设备响应</t>
  </si>
  <si>
    <t>extremeEventId，stateFlag，recoveryTime，deratingLimit</t>
  </si>
  <si>
    <t>ASK-W-05</t>
  </si>
  <si>
    <t>风场业主/设计院/OEM</t>
  </si>
  <si>
    <t>风机坐标、轮毂高度/叶轮直径、尾流控制/偏航/限发策略、阵列损失矩阵及可用SCADA/CFD验证结果</t>
  </si>
  <si>
    <t>单机功率曲线无法代表风场净出力和空间相关性</t>
  </si>
  <si>
    <t>机位级；风向/风速分箱；至少一季典型数据</t>
  </si>
  <si>
    <t>坐标可相对化，损失矩阵可匿名</t>
  </si>
  <si>
    <t>开源尾流模型可作先验</t>
  </si>
  <si>
    <t>W-loss，pWindGross/Net，wakeFactor，layoutId</t>
  </si>
  <si>
    <t>ASK-PV-05</t>
  </si>
  <si>
    <t>漂浮光伏业主/EPC/逆变器厂家</t>
  </si>
  <si>
    <t>组串—汇流箱—逆变器—变压器映射、MPPT拓扑、电缆长度、遮挡/失配/旁路事件、绝缘与接地故障记录</t>
  </si>
  <si>
    <t>海上姿态与盐雾会形成非均匀失配；只用组件效率会高估净出力</t>
  </si>
  <si>
    <t>组串/逆变器级；1s—15min；事件级</t>
  </si>
  <si>
    <t>拓扑可编号化；不披露供应商价格</t>
  </si>
  <si>
    <t>典型拓扑可作占位，不可校准失配</t>
  </si>
  <si>
    <t>PV-loss，pPvDc/Ac，mismatchFactor，topologyId</t>
  </si>
  <si>
    <t>ASK-TC-05</t>
  </si>
  <si>
    <t>潮流场业主/设计院/海洋测绘方</t>
  </si>
  <si>
    <t>机组坐标、安装深度/朝向、局部水深地形、海床粗糙度、阵列尾流/阻塞与可达性限制</t>
  </si>
  <si>
    <t>流速立方模型未含阵列相互作用与部署边界</t>
  </si>
  <si>
    <t>设备/网格级；涨落潮分别标定</t>
  </si>
  <si>
    <t>坐标相对化；地形降采样</t>
  </si>
  <si>
    <t>公开海图只能作初始场</t>
  </si>
  <si>
    <t>TC-loss，blockageFactor，wakeFactor，layoutId</t>
  </si>
  <si>
    <t>ASK-GRID-01</t>
  </si>
  <si>
    <t>设计院/电气总包/并网方</t>
  </si>
  <si>
    <t>源侧汇集母线电压/频率运行包络、短路比、谐波/闪变、故障穿越、保护配合、集电线路热稳与无功限制</t>
  </si>
  <si>
    <t>4.3需向4.4/4.5交付可行P-Q包络，而非仅有有功上限</t>
  </si>
  <si>
    <t>母线/馈线级；典型及故障工况</t>
  </si>
  <si>
    <t>可提供经脱敏的边界包络和试验结论</t>
  </si>
  <si>
    <t>标准只给合规框架，不能替代项目整定值</t>
  </si>
  <si>
    <t>p/qAvailable，v/fEnvelope，rampLimit，protectionState</t>
  </si>
  <si>
    <t>ASK-QC-01</t>
  </si>
  <si>
    <t>业主/计量/数据平台主管</t>
  </si>
  <si>
    <t>电能表、CT/PT精度和变比、数据缺失/插补规则、传感器漂移、质量码及测量不确定度预算</t>
  </si>
  <si>
    <t>用于区分模型误差与测量误差，并给4.8/4.9结果置信区间</t>
  </si>
  <si>
    <t>测点级；质量码逐样本；年度不确定度复核</t>
  </si>
  <si>
    <t>资产编号可匿名；保留精度和规则</t>
  </si>
  <si>
    <t>标准可提供方法，不能替代项目误差预算</t>
  </si>
  <si>
    <t>qualityFlag，uMeasurement，lossUncertainty</t>
  </si>
  <si>
    <t>ASK-VAL-01</t>
  </si>
  <si>
    <t>业主/第三方检测</t>
  </si>
  <si>
    <t>独立验证时段或第二项目数据、验收KPI与阈值、基准模型设置及不合格处理规则</t>
  </si>
  <si>
    <t>同一数据集拟合与验证会高估泛化能力</t>
  </si>
  <si>
    <t>至少一个完整季节；保留极端事件与低资源时段</t>
  </si>
  <si>
    <t>可在安全沙箱运行，仅输出KPI</t>
  </si>
  <si>
    <t>公开样例只能做代码验收</t>
  </si>
  <si>
    <t>calibrationSet，validationSet，RMSE/MAE/bias/coverage</t>
  </si>
  <si>
    <t>ASK-ENV-01</t>
  </si>
  <si>
    <t>业主/海事/环保与运维单位</t>
  </si>
  <si>
    <t>季节性禁限作业、航道/渔业/生态窗口、海生物附着与腐蚀检查、可维护天气窗口及其导致的降额/停机</t>
  </si>
  <si>
    <t>这些条件会改变可用率和恢复时间，不能仅作为文字风险</t>
  </si>
  <si>
    <t>日历/事件级；与设备状态、天气同步</t>
  </si>
  <si>
    <t>敏感坐标可网格化；仅保留时间窗和约束</t>
  </si>
  <si>
    <t>法规提供上限，项目许可和运维窗口仍需企业</t>
  </si>
  <si>
    <t>availability，maintenanceWindow，environmentalConstraint</t>
  </si>
  <si>
    <t>公开资料与标准清单</t>
  </si>
  <si>
    <t>每条URL均用于证明“来源存在、标准/项目范围或公开设备事实”；若未取得标准全文，不得把目录页当作公式原文。</t>
  </si>
  <si>
    <t>资料ID</t>
  </si>
  <si>
    <t>类别</t>
  </si>
  <si>
    <t>标准/项目/数据集</t>
  </si>
  <si>
    <t>发布机构</t>
  </si>
  <si>
    <t>可公开获取内容</t>
  </si>
  <si>
    <t>不能解决的问题</t>
  </si>
  <si>
    <t>状态（2026-07-15）</t>
  </si>
  <si>
    <t>URL</t>
  </si>
  <si>
    <t>建议用途</t>
  </si>
  <si>
    <t>来源类型</t>
  </si>
  <si>
    <t>PUB-W-01</t>
  </si>
  <si>
    <t>标准</t>
  </si>
  <si>
    <t>IEC</t>
  </si>
  <si>
    <t>风机功率性能测量方法与不确定度框架</t>
  </si>
  <si>
    <t>不提供某国产型号真实曲线</t>
  </si>
  <si>
    <t>现行；含2025勘误</t>
  </si>
  <si>
    <t>风功率曲线证据框架</t>
  </si>
  <si>
    <t>国际标准</t>
  </si>
  <si>
    <t>PUB-W-02</t>
  </si>
  <si>
    <t>GB/Z 44047-2024 漂浮式海上风力发电机组设计要求</t>
  </si>
  <si>
    <t>国家标准委/全国标准信息平台</t>
  </si>
  <si>
    <t>漂浮式机组工程完整性、场址与设计要求</t>
  </si>
  <si>
    <t>不提供设备控制阈值/功率曲线</t>
  </si>
  <si>
    <t>现行，但2026年修订计划已启动</t>
  </si>
  <si>
    <t>浮式边界与引用清单</t>
  </si>
  <si>
    <t>政府官网/国家标准</t>
  </si>
  <si>
    <t>PUB-W-03</t>
  </si>
  <si>
    <t>GB/T 47558-2026 漂浮式海上风力发电机组一体化计算分析导则</t>
  </si>
  <si>
    <t>国家标准委</t>
  </si>
  <si>
    <t>耦合模型构建、工况与分析框架</t>
  </si>
  <si>
    <t>不提供具体项目参数</t>
  </si>
  <si>
    <t>2026-08-01实施；当前为即将实施</t>
  </si>
  <si>
    <t>https://std.samr.gov.cn/gb/search/gbDetailed?id=511EBC5968E19318E06397BE0A0AFBD5</t>
  </si>
  <si>
    <t>V3耦合仿真路线</t>
  </si>
  <si>
    <t>PUB-W-04</t>
  </si>
  <si>
    <t>NB/T 11910-2025 漂浮式海上风电场工程可研规程</t>
  </si>
  <si>
    <t>国家能源局</t>
  </si>
  <si>
    <t>可研资料与章节要求</t>
  </si>
  <si>
    <t>不提供设备实测参数</t>
  </si>
  <si>
    <t>2026-06-18已实施</t>
  </si>
  <si>
    <t>https://std.samr.gov.cn/hb/search/stdHBDetailed?id=4D49CE8CA21C8559E06397BE0A0AA2EE</t>
  </si>
  <si>
    <t>工程资料清单</t>
  </si>
  <si>
    <t>政府官网/行业标准</t>
  </si>
  <si>
    <t>PUB-PV-01</t>
  </si>
  <si>
    <t>NB/T 11744-2024 海上光伏发电系统设计规范</t>
  </si>
  <si>
    <t>100kWp及以上海上光伏设计要求</t>
  </si>
  <si>
    <t>不提供特定平台动态性能</t>
  </si>
  <si>
    <t>现行</t>
  </si>
  <si>
    <t>海光系统边界与设备要求</t>
  </si>
  <si>
    <t>PUB-PV-02</t>
  </si>
  <si>
    <t>NB/T 11814-2025 漂浮式光伏支撑系统技术规程</t>
  </si>
  <si>
    <t>海上/陆上漂浮支撑系统设计、检验与监测要求</t>
  </si>
  <si>
    <t>不提供特定浮体RAO/运行阈值</t>
  </si>
  <si>
    <t>https://std.samr.gov.cn/hb/search/stdHBDetailedCNF?id=3B0C26114261E22FE06397BE0A0A3D18</t>
  </si>
  <si>
    <t>支撑与监测参数清单</t>
  </si>
  <si>
    <t>PUB-PV-03</t>
  </si>
  <si>
    <t>NB/T 11352-2023 漂浮式光伏发电站运行维护规程</t>
  </si>
  <si>
    <t>运行控制、巡检、维护、异常与故障要求</t>
  </si>
  <si>
    <t>不提供海上退化曲线</t>
  </si>
  <si>
    <t>https://std.samr.gov.cn/hb/search/stdHBDetailed?id=2E1288291A780971E06397BE0A0ABFD2</t>
  </si>
  <si>
    <t>状态机与运维字段</t>
  </si>
  <si>
    <t>PUB-PV-04</t>
  </si>
  <si>
    <t>IEC 61853-1/-2/-3</t>
  </si>
  <si>
    <t>PV辐照/温度功率矩阵、入射角、温度与能量评级方法</t>
  </si>
  <si>
    <t>不提供选定组件实测矩阵</t>
  </si>
  <si>
    <t>现行系列</t>
  </si>
  <si>
    <t>PV性能模型证据</t>
  </si>
  <si>
    <t>PUB-TC-01</t>
  </si>
  <si>
    <t>GB/T 41342-2022 潮流能发电装置功率特性现场测试方法</t>
  </si>
  <si>
    <t>国家标准委/自然资源部</t>
  </si>
  <si>
    <t>现场功率曲线测试方法</t>
  </si>
  <si>
    <t>不提供LHD真实曲线</t>
  </si>
  <si>
    <t>涨/落潮功率曲线框架</t>
  </si>
  <si>
    <t>PUB-TC-02</t>
  </si>
  <si>
    <t>IEC TS 62600-200:2013</t>
  </si>
  <si>
    <t>潮流能转换装置额定功率、额定流速和功率曲线评估方法</t>
  </si>
  <si>
    <t>不提供特定设备参数</t>
  </si>
  <si>
    <t>稳定日期至2026，后续版本需跟踪</t>
  </si>
  <si>
    <t>https://webstore.iec.ch/en/publication/7242</t>
  </si>
  <si>
    <t>潮流设备性能证据</t>
  </si>
  <si>
    <t>PUB-DEV-01</t>
  </si>
  <si>
    <t>项目</t>
  </si>
  <si>
    <t>中国三峡集团</t>
  </si>
  <si>
    <t>5.5MW、半潜平台、系泊和动态电缆构成</t>
  </si>
  <si>
    <t>不含OEM曲线/控制/SCADA</t>
  </si>
  <si>
    <t>公开项目页面</t>
  </si>
  <si>
    <t>运行型风电参考设备</t>
  </si>
  <si>
    <t>央企官网</t>
  </si>
  <si>
    <t>PUB-DEV-02</t>
  </si>
  <si>
    <t>平台身份、容量和检验信息</t>
  </si>
  <si>
    <t>不含完整设备模型</t>
  </si>
  <si>
    <t>前沿风电情景</t>
  </si>
  <si>
    <t>行业机构/企业官网</t>
  </si>
  <si>
    <t>PUB-DEV-03</t>
  </si>
  <si>
    <t>半岛南3号500kW漂浮式光伏</t>
  </si>
  <si>
    <t>中国电力国际/国家电投</t>
  </si>
  <si>
    <t>500kW、两浮体、770组件、离岸/水深和接入方式</t>
  </si>
  <si>
    <t>不含组件料号及运行数据</t>
  </si>
  <si>
    <t>上市公司/央企官网</t>
  </si>
  <si>
    <t>PUB-DEV-04</t>
  </si>
  <si>
    <t>中集400kWp半潜式漂浮光伏平台</t>
  </si>
  <si>
    <t>中集集团</t>
  </si>
  <si>
    <t>容量、浮体数量与平台定位</t>
  </si>
  <si>
    <t>不含RAO/系泊/运行数据</t>
  </si>
  <si>
    <t>漂浮平台对比</t>
  </si>
  <si>
    <t>上市公司官网</t>
  </si>
  <si>
    <t>PUB-DEV-05</t>
  </si>
  <si>
    <t>设备</t>
  </si>
  <si>
    <t>隆基Hi-MO 9龙渊海光专用组件</t>
  </si>
  <si>
    <t>海光耐腐蚀产品定位与公开测试说明</t>
  </si>
  <si>
    <t>不等于冻结料号和完整性能矩阵</t>
  </si>
  <si>
    <t>公开产品介绍</t>
  </si>
  <si>
    <t>上市公司/企业官网</t>
  </si>
  <si>
    <t>PUB-DEV-06</t>
  </si>
  <si>
    <t>浙江省经济信息中心/项目方</t>
  </si>
  <si>
    <t>容量、水平轴、变桨、双向与并网公开信息</t>
  </si>
  <si>
    <t>不含功率曲线/阈值/SCADA</t>
  </si>
  <si>
    <t>政府公开报道</t>
  </si>
  <si>
    <t>潮流能运行基准</t>
  </si>
  <si>
    <t>PUB-DATA-01</t>
  </si>
  <si>
    <t>ERA5小时单层再分析</t>
  </si>
  <si>
    <t>Copernicus/ECMWF</t>
  </si>
  <si>
    <t>风、气温、气压、辐射、波浪等长期小时序列</t>
  </si>
  <si>
    <t>分辨率不足以替代场址测量</t>
  </si>
  <si>
    <t>持续更新</t>
  </si>
  <si>
    <t>长期资源先验/联合场景</t>
  </si>
  <si>
    <t>国际开放科学数据</t>
  </si>
  <si>
    <t>PUB-DATA-02</t>
  </si>
  <si>
    <t>海流、波浪、水温和海洋物理产品</t>
  </si>
  <si>
    <t>近岸/机位误差需ADCP/浮标校准</t>
  </si>
  <si>
    <t>潮流/波浪长期先验</t>
  </si>
  <si>
    <t>PUB-DATA-03</t>
  </si>
  <si>
    <t>NASA</t>
  </si>
  <si>
    <t>太阳辐照与气象数据、参数字典和API</t>
  </si>
  <si>
    <t>海上局地效应仍需实测校准</t>
  </si>
  <si>
    <t>辐照交叉基线</t>
  </si>
  <si>
    <t>PUB-DATA-04</t>
  </si>
  <si>
    <t>青岛海洋科学资料共享服务中心</t>
  </si>
  <si>
    <t>自然资源部第一海洋研究所等</t>
  </si>
  <si>
    <t>海洋科学元数据与部分观测/共享数据</t>
  </si>
  <si>
    <t>具体场址和高频数据可用性不保证</t>
  </si>
  <si>
    <t>在线服务</t>
  </si>
  <si>
    <t>https://www.nsfcodc.cn/</t>
  </si>
  <si>
    <t>国内海洋数据补充检索</t>
  </si>
  <si>
    <t>科研数据平台</t>
  </si>
  <si>
    <t>4.8—4.9 多目标分析企业交流/数据取数清单</t>
  </si>
  <si>
    <t>本表只列公开资料不能替代、必须向企业/业主/设计院/承购方获取或确认的数据。公开资料用于方法、标准、行业先验和占位区间；合同价格、项目成本、故障与恢复、服务等级、BOM/EPD及运维实绩须按NDA分级管理。</t>
  </si>
  <si>
    <t>取数ID</t>
  </si>
  <si>
    <t>目标</t>
  </si>
  <si>
    <t>对象/数据所有者</t>
  </si>
  <si>
    <t>映射公式参数/KPI</t>
  </si>
  <si>
    <t>最小粒度/周期</t>
  </si>
  <si>
    <t>可公开替代/先验</t>
  </si>
  <si>
    <t>关联章节</t>
  </si>
  <si>
    <t>OPT-COM-01</t>
  </si>
  <si>
    <t>通用</t>
  </si>
  <si>
    <t>项目公司/财务/设计院</t>
  </si>
  <si>
    <t>投资与运营核算边界、币值年、含税/不含税、建设期、寿命、退役边界、共用资产分摊规则</t>
  </si>
  <si>
    <t>全部目标的系统边界与functionalUnit</t>
  </si>
  <si>
    <t>项目级；版本冻结</t>
  </si>
  <si>
    <t>边界不同会造成三目标不可比</t>
  </si>
  <si>
    <t>IEC/ISO方法框架</t>
  </si>
  <si>
    <t>可只提供口径和比例</t>
  </si>
  <si>
    <t>4.1、4.8、4.9</t>
  </si>
  <si>
    <t>OPT-COM-02</t>
  </si>
  <si>
    <t>项目公司/调度/承购方</t>
  </si>
  <si>
    <t>单一外送基准与协同方案的同边界配置、装机、投运年、利用率/可用率假设</t>
  </si>
  <si>
    <t>baselineId、scenarioId、提升幅度</t>
  </si>
  <si>
    <t>方案/年度</t>
  </si>
  <si>
    <t>没有真实基准就无法回答“相比单一外送提升多少”</t>
  </si>
  <si>
    <t>公开示范项目作外部参照</t>
  </si>
  <si>
    <t>基准可匿名化</t>
  </si>
  <si>
    <t>4.1、4.9.4</t>
  </si>
  <si>
    <t>OPT-COM-03</t>
  </si>
  <si>
    <t>业主/EMS/数据平台</t>
  </si>
  <si>
    <t>预测、实测、调度指令、事件/故障、价格和合同履约的统一时间轴及版本快照</t>
  </si>
  <si>
    <t>scenario、forecastError、state、price</t>
  </si>
  <si>
    <t>1min/15min/1h；≥1年</t>
  </si>
  <si>
    <t>多目标需同场同周期联合计算，拼接数据会破坏相关性</t>
  </si>
  <si>
    <t>再分析数据可作基线</t>
  </si>
  <si>
    <t>安全沙箱或脱敏时间序列</t>
  </si>
  <si>
    <t>4.3—4.9</t>
  </si>
  <si>
    <t>OPT-ECO-01</t>
  </si>
  <si>
    <t>经济</t>
  </si>
  <si>
    <t>项目公司/EPC/设计院</t>
  </si>
  <si>
    <t>风光潮、浮体/系泊、海上平台、储能、制氢/制氨、算力、海缆、港口及EMS分项CAPEX与工程量清单</t>
  </si>
  <si>
    <t>C_cap、CRF、LCOX</t>
  </si>
  <si>
    <t>设备/系统/建设年度</t>
  </si>
  <si>
    <t>公开造价口径和边界差异大，不能代表项目投标价</t>
  </si>
  <si>
    <t>行业报告/上市公告区间</t>
  </si>
  <si>
    <t>分项指数化或区间化</t>
  </si>
  <si>
    <t>4.5—4.8</t>
  </si>
  <si>
    <t>OPT-ECO-02</t>
  </si>
  <si>
    <t>运维公司/业主/OEM</t>
  </si>
  <si>
    <t>固定/变动OPEX、船舶/直升机/港口、巡检、保险、租赁、备件、清洗防腐和故障抢修实绩</t>
  </si>
  <si>
    <t>C_om、C_repair、availabilityCost</t>
  </si>
  <si>
    <t>月/年+工单事件；≥3年优先</t>
  </si>
  <si>
    <t>海上运维受距离和天气窗强烈影响</t>
  </si>
  <si>
    <t>公开行业均值</t>
  </si>
  <si>
    <t>工单匿名、金额指数化</t>
  </si>
  <si>
    <t>4.3、4.5、4.8</t>
  </si>
  <si>
    <t>OPT-ECO-03</t>
  </si>
  <si>
    <t>财务/融资方</t>
  </si>
  <si>
    <t>资本金与债务结构、WACC/贴现率、贷款期、税率、折旧、补贴、通胀与汇率口径</t>
  </si>
  <si>
    <t>r、CRF、NPV、IRR、tax</t>
  </si>
  <si>
    <t>融资条件决定资本密集项目结果</t>
  </si>
  <si>
    <t>央行/政策利率作情景</t>
  </si>
  <si>
    <t>仅给区间/目标收益率</t>
  </si>
  <si>
    <t>4.8、4.9</t>
  </si>
  <si>
    <t>OPT-ECO-04</t>
  </si>
  <si>
    <t>OEM/业主/财务</t>
  </si>
  <si>
    <t>各设备寿命、退化、检修大修与更换计划、残值、退役和海上拆除成本</t>
  </si>
  <si>
    <t>C_deg、C_replace、EOL、salvage</t>
  </si>
  <si>
    <t>设备/年度/循环</t>
  </si>
  <si>
    <t>公开设计寿命不能替代实绩和质保条款</t>
  </si>
  <si>
    <t>厂家公开质保/文献曲线</t>
  </si>
  <si>
    <t>匿名化型号和质保条件</t>
  </si>
  <si>
    <t>OPT-ECO-05</t>
  </si>
  <si>
    <t>电网/售电/承购方</t>
  </si>
  <si>
    <t>外送电价、容量/辅助服务收入、偏差/考核、限发补偿、购电价、结算周期和合同上下限</t>
  </si>
  <si>
    <t>R_elec、C_buy、C_curt、penalty</t>
  </si>
  <si>
    <t>逐时/结算周期/合同期</t>
  </si>
  <si>
    <t>公开标杆价不等于项目结算合同</t>
  </si>
  <si>
    <t>政府价格/市场规则</t>
  </si>
  <si>
    <t>金额可归一化；保留机制</t>
  </si>
  <si>
    <t>4.7、4.8、4.9</t>
  </si>
  <si>
    <t>OPT-ECO-06</t>
  </si>
  <si>
    <t>储能OEM/业主</t>
  </si>
  <si>
    <t>储能效率图、寿命/退化、循环与日历老化、最低备用SOC、扩容/更换及质保罚则</t>
  </si>
  <si>
    <t>C_deg、η_ch/dis、SOC、C_replace</t>
  </si>
  <si>
    <t>功率/SOC/温度工况；循环级</t>
  </si>
  <si>
    <t>额定效率无法生成边际退化成本</t>
  </si>
  <si>
    <t>公开电芯曲线作先验</t>
  </si>
  <si>
    <t>可提供拟合系数和包络</t>
  </si>
  <si>
    <t>4.5、4.8、4.9</t>
  </si>
  <si>
    <t>OPT-ECO-07</t>
  </si>
  <si>
    <t>制氢/制氨OEM、EPC、业主</t>
  </si>
  <si>
    <t>电解槽/空分/合成氨效率与负荷曲线、启停、辅机、寿命、堆更换、纯度与产量</t>
  </si>
  <si>
    <t>C_start、C_replace、P2H、H2/NH3产量</t>
  </si>
  <si>
    <t>秒/分钟动态+小时能耗+年度更换</t>
  </si>
  <si>
    <t>铭牌效率不能代表部分负荷和海上辅机</t>
  </si>
  <si>
    <t>标准/论文曲线</t>
  </si>
  <si>
    <t>降阶模型+匿名参数</t>
  </si>
  <si>
    <t>4.5、4.7、4.8</t>
  </si>
  <si>
    <t>OPT-ECO-08</t>
  </si>
  <si>
    <t>氢氨承购方/港口/物流商</t>
  </si>
  <si>
    <t>绿氢/绿氨承购价、最低交付、质量、take-or-pay、储罐/装卸/船期、损耗、港口与运输费用</t>
  </si>
  <si>
    <t>R_H2、R_NH3、C_logistics、penalty</t>
  </si>
  <si>
    <t>批次/航次/合同期</t>
  </si>
  <si>
    <t>公开现货价不能替代长期承购和物流约束</t>
  </si>
  <si>
    <t>市场价格作敏感性</t>
  </si>
  <si>
    <t>合同条款分级脱敏</t>
  </si>
  <si>
    <t>OPT-ECO-09</t>
  </si>
  <si>
    <t>算力运营商/设备商/客户</t>
  </si>
  <si>
    <t>IT及海底舱CAPEX/OPEX、实测PUE、可延期/迁移范围、作业队列、SLA、服务单价与违约罚则</t>
  </si>
  <si>
    <t>R_compute、PUE、C_SLA、workload</t>
  </si>
  <si>
    <t>1min/15min；作业级；合同期</t>
  </si>
  <si>
    <t>算力收益和柔性来自真实业务/SLA，不是额定功率</t>
  </si>
  <si>
    <t>公开云价/PUE作上限基线</t>
  </si>
  <si>
    <t>作业匿名、价格指数化</t>
  </si>
  <si>
    <t>4.6、4.8、4.9</t>
  </si>
  <si>
    <t>OPT-ECO-10</t>
  </si>
  <si>
    <t>海缆/电气总包/保险方</t>
  </si>
  <si>
    <t>动态海缆/集电/外送系统CAPEX、损耗、可用率、故障修复和保险免赔/停运损失</t>
  </si>
  <si>
    <t>C_cable、loss、C_repair、availability</t>
  </si>
  <si>
    <t>线路/年度+故障事件</t>
  </si>
  <si>
    <t>深远海距离、路由与抢修资源使公开单价失真</t>
  </si>
  <si>
    <t>典型造价区间</t>
  </si>
  <si>
    <t>路由与金额脱敏</t>
  </si>
  <si>
    <t>4.4、4.7、4.8</t>
  </si>
  <si>
    <t>OPT-ENV-01</t>
  </si>
  <si>
    <t>环保</t>
  </si>
  <si>
    <t>设备OEM/EPC/供应链</t>
  </si>
  <si>
    <t>主要设备BOM、材料/质量、EPD/PCF、制造能源、原产地和运输距离</t>
  </si>
  <si>
    <t>E_emb、EF_material、EF_transport</t>
  </si>
  <si>
    <t>设备/批次/供应商</t>
  </si>
  <si>
    <t>通用数据库无法反映国产具体设备和供应链</t>
  </si>
  <si>
    <t>ecoinvent/行业EPD作先验</t>
  </si>
  <si>
    <t>BOM可只给材料汇总和EPD</t>
  </si>
  <si>
    <t>4.3、4.5—4.8</t>
  </si>
  <si>
    <t>OPT-ENV-02</t>
  </si>
  <si>
    <t>施工/运维公司/船东</t>
  </si>
  <si>
    <t>安装、打桩/系泊、拖航、运维船舶/直升机的燃料、航次、距离、负载和天气等待</t>
  </si>
  <si>
    <t>E_fuel、E_logistics</t>
  </si>
  <si>
    <t>航次/工单/年度</t>
  </si>
  <si>
    <t>海上活动是项目特定清单项</t>
  </si>
  <si>
    <t>船型排放因子作先验</t>
  </si>
  <si>
    <t>船名/航线匿名</t>
  </si>
  <si>
    <t>OPT-ENV-03</t>
  </si>
  <si>
    <t>OEM/回收/退役承包商</t>
  </si>
  <si>
    <t>备件更换、废弃物、回收率、再制造、危废处理和退役路径</t>
  </si>
  <si>
    <t>E_replace、E_recycle、E_EOL</t>
  </si>
  <si>
    <t>设备/材料/年度</t>
  </si>
  <si>
    <t>回收信用高度依赖实际去向与合同</t>
  </si>
  <si>
    <t>法规/行业回收率区间</t>
  </si>
  <si>
    <t>去向和比例可脱敏</t>
  </si>
  <si>
    <t>4.5、4.8</t>
  </si>
  <si>
    <t>OPT-ENV-04</t>
  </si>
  <si>
    <t>电网/售电/业主</t>
  </si>
  <si>
    <t>购电来源、逐时或分时排放因子、绿证/合同属性及避免重复核算规则</t>
  </si>
  <si>
    <t>E_grid、EF_grid(t)</t>
  </si>
  <si>
    <t>小时/月/年度</t>
  </si>
  <si>
    <t>平均电网因子不能替代实际购电属性与边际时段</t>
  </si>
  <si>
    <t>生态环境部门/电网公开因子</t>
  </si>
  <si>
    <t>合同名称可隐去</t>
  </si>
  <si>
    <t>4.4、4.8</t>
  </si>
  <si>
    <t>OPT-ENV-05</t>
  </si>
  <si>
    <t>制氢/制氨OEM/业主</t>
  </si>
  <si>
    <t>纯水/海水处理、压缩、储运、空分、合成、放空/泄漏、催化剂/冷媒及辅助电耗</t>
  </si>
  <si>
    <t>E_process、leakage、auxEnergy</t>
  </si>
  <si>
    <t>工艺单元/负荷点/批次</t>
  </si>
  <si>
    <t>主设备效率遗漏大量边界过程</t>
  </si>
  <si>
    <t>论文/标准流程先验</t>
  </si>
  <si>
    <t>工艺参数区间化</t>
  </si>
  <si>
    <t>OPT-ENV-06</t>
  </si>
  <si>
    <t>算力运营商/冷却设备商</t>
  </si>
  <si>
    <t>PUE分解、冷却/泵/通信能耗、冷媒种类与补充量、设备更换和报废路径</t>
  </si>
  <si>
    <t>E_compute、E_refrig、PUE</t>
  </si>
  <si>
    <t>1min/小时+年度维护</t>
  </si>
  <si>
    <t>目标PUE不能代表全寿命环境清单</t>
  </si>
  <si>
    <t>公开PUE/冷媒GWP</t>
  </si>
  <si>
    <t>只需汇总能耗和冷媒量</t>
  </si>
  <si>
    <t>4.6、4.8</t>
  </si>
  <si>
    <t>OPT-ENV-07</t>
  </si>
  <si>
    <t>项目公司/第三方LCA/承购方</t>
  </si>
  <si>
    <t>电、氢、氨、算力多产品功能单位、分摊规则、系统扩展和避免排放基准</t>
  </si>
  <si>
    <t>allocation、functionalUnit、avoidedBaseline</t>
  </si>
  <si>
    <t>分摊规则是管理和合同选择，不能由模型擅定</t>
  </si>
  <si>
    <t>ISO 14040/14044/14067</t>
  </si>
  <si>
    <t>经审查的口径文件</t>
  </si>
  <si>
    <t>OPT-REL-01</t>
  </si>
  <si>
    <t>各OEM/业主/保险/运维</t>
  </si>
  <si>
    <t>风光潮、储能、电解槽、算力舱、变压器/变流器/开关、海缆的故障率、降额率、MTTR与可用率</t>
  </si>
  <si>
    <t>λ、MTTR、FOR、availability</t>
  </si>
  <si>
    <t>部件/故障模式；≥3年优先</t>
  </si>
  <si>
    <t>公开平均值不能反映海洋环境和具体型号</t>
  </si>
  <si>
    <t>OREDA/论文先验</t>
  </si>
  <si>
    <t>故障模式编码、厂家匿名</t>
  </si>
  <si>
    <t>4.3—4.7、4.8</t>
  </si>
  <si>
    <t>OPT-REL-02</t>
  </si>
  <si>
    <t>业主/海洋预报/运维物流</t>
  </si>
  <si>
    <t>台风、极端浪流/盐雾引发的共因失效、停机范围、天气可达窗口、船舶/备件动员和恢复序列</t>
  </si>
  <si>
    <t>scenario、commonCause、recoveryTime</t>
  </si>
  <si>
    <t>事件级；完整恢复链</t>
  </si>
  <si>
    <t>独立故障假设会低估深远海风险</t>
  </si>
  <si>
    <t>公开气象/台风路径</t>
  </si>
  <si>
    <t>事件匿名、时刻平移</t>
  </si>
  <si>
    <t>4.3、4.5、4.9</t>
  </si>
  <si>
    <t>OPT-REL-03</t>
  </si>
  <si>
    <t>电网/海缆业主/调度</t>
  </si>
  <si>
    <t>外部电网与外送通道停运、N-1方式、检修计划、并离网切换和恢复时间</t>
  </si>
  <si>
    <t>gridState、cableState、N-1、MTTR</t>
  </si>
  <si>
    <t>事件/计划级</t>
  </si>
  <si>
    <t>能源岛可靠性受单一海缆和陆网状态显著影响</t>
  </si>
  <si>
    <t>公开停电统计作先验</t>
  </si>
  <si>
    <t>拓扑和事件脱敏</t>
  </si>
  <si>
    <t>4.4、4.7、4.9</t>
  </si>
  <si>
    <t>OPT-REL-04</t>
  </si>
  <si>
    <t>负荷业主/算力客户/制氢/海洋用能方</t>
  </si>
  <si>
    <t>负荷等级、可中断时长、最低供能、SLA、VOLL/违约罚则和恢复优先级</t>
  </si>
  <si>
    <t>P_unserved、EENS、VOLL、criticality</t>
  </si>
  <si>
    <t>负荷/作业/合同级</t>
  </si>
  <si>
    <t>没有服务等级就无法定义“未供能”及其后果</t>
  </si>
  <si>
    <t>行业VOLL/SLA作敏感性</t>
  </si>
  <si>
    <t>客户匿名、罚则指数化</t>
  </si>
  <si>
    <t>4.6—4.8</t>
  </si>
  <si>
    <t>OPT-REL-05</t>
  </si>
  <si>
    <t>并网方/构网储能OEM/业主</t>
  </si>
  <si>
    <t>备用标准、N-1、短路比、频率最低点/ROCOF/稳态偏差、电压恢复、黑启动验收与最低SOC/H2库存</t>
  </si>
  <si>
    <t>reserveReq、f_nadir、ROCOF、SOC_min</t>
  </si>
  <si>
    <t>典型/故障工况；试验报告</t>
  </si>
  <si>
    <t>标准给原则但项目整定和验收阈值不同</t>
  </si>
  <si>
    <t>GB/IEC/IEEE标准框架</t>
  </si>
  <si>
    <t>提供包络和通过/失败结论</t>
  </si>
  <si>
    <t>OPT-REL-06</t>
  </si>
  <si>
    <t>风光潮及负荷预测误差的联合分布、空间/时间相关、极端分位、场景削减与实际偏差考核</t>
  </si>
  <si>
    <t>forecastError、π_s、CVaR、reserveReq</t>
  </si>
  <si>
    <t>发布时间×预测时域；≥1年</t>
  </si>
  <si>
    <t>公开气象无法复现生产预测与调度误差</t>
  </si>
  <si>
    <t>再分析+公开预测作基线</t>
  </si>
  <si>
    <t>模型匿名，仅交误差与分位</t>
  </si>
  <si>
    <t>4.3、4.9</t>
  </si>
  <si>
    <t>OPT-REL-07</t>
  </si>
  <si>
    <t>EMS/通信/网络安全方</t>
  </si>
  <si>
    <t>测控通信可用率、延迟、丢包、时钟失步、降级控制、人工接管和网络安全事件边界</t>
  </si>
  <si>
    <t>commState、latency、fallbackMode</t>
  </si>
  <si>
    <t>秒级事件+年度统计</t>
  </si>
  <si>
    <t>通信故障会使可用设备无法被调度</t>
  </si>
  <si>
    <t>标准测试场景</t>
  </si>
  <si>
    <t>网络拓扑脱敏</t>
  </si>
  <si>
    <t>4.3—4.6、4.9</t>
  </si>
  <si>
    <t>OPT-REL-08</t>
  </si>
  <si>
    <t>运维/仓储/供应链</t>
  </si>
  <si>
    <t>关键备件库存、补货周期、专用船舶/吊装资源、维修人员与港口可用性</t>
  </si>
  <si>
    <t>repairDelay、spareState、recoveryTime</t>
  </si>
  <si>
    <t>备件/故障/季节</t>
  </si>
  <si>
    <t>MTTR若忽略物流会严重偏低</t>
  </si>
  <si>
    <t>行业维修时长区间</t>
  </si>
  <si>
    <t>库存和港口匿名</t>
  </si>
  <si>
    <t>OPT-REL-09</t>
  </si>
  <si>
    <t>第三方检测/业主/调度</t>
  </si>
  <si>
    <t>历史独立事故/演练、黑启动、孤网运行、负荷切除和恢复测试记录及验收结论</t>
  </si>
  <si>
    <t>validationSet、passRate、recoveryKPI</t>
  </si>
  <si>
    <t>事件/演练级</t>
  </si>
  <si>
    <t>用于验证优化器可靠性目标确实对应工程表现</t>
  </si>
  <si>
    <t>标准测试用例</t>
  </si>
  <si>
    <t>安全沙箱，仅输出KPI</t>
  </si>
  <si>
    <t>4.5、4.9</t>
  </si>
  <si>
    <r>
      <rPr>
        <b/>
        <sz val="15"/>
        <color rgb="FFFFFFFF"/>
        <rFont val="微软雅黑"/>
        <family val="2"/>
        <charset val="134"/>
      </rPr>
      <t>公式</t>
    </r>
    <r>
      <rPr>
        <b/>
        <sz val="15"/>
        <color rgb="FFFFFFFF"/>
        <rFont val="Carlito"/>
        <family val="2"/>
        <charset val="134"/>
      </rPr>
      <t>—</t>
    </r>
    <r>
      <rPr>
        <b/>
        <sz val="15"/>
        <color rgb="FFFFFFFF"/>
        <rFont val="微软雅黑"/>
        <family val="2"/>
        <charset val="134"/>
      </rPr>
      <t>参数</t>
    </r>
    <r>
      <rPr>
        <b/>
        <sz val="15"/>
        <color rgb="FFFFFFFF"/>
        <rFont val="Carlito"/>
        <family val="2"/>
        <charset val="134"/>
      </rPr>
      <t>—</t>
    </r>
    <r>
      <rPr>
        <b/>
        <sz val="15"/>
        <color rgb="FFFFFFFF"/>
        <rFont val="微软雅黑"/>
        <family val="2"/>
        <charset val="134"/>
      </rPr>
      <t>设备</t>
    </r>
    <r>
      <rPr>
        <b/>
        <sz val="15"/>
        <color rgb="FFFFFFFF"/>
        <rFont val="Carlito"/>
        <family val="2"/>
        <charset val="134"/>
      </rPr>
      <t>—</t>
    </r>
    <r>
      <rPr>
        <b/>
        <sz val="15"/>
        <color rgb="FFFFFFFF"/>
        <rFont val="微软雅黑"/>
        <family val="2"/>
        <charset val="134"/>
      </rPr>
      <t>来源</t>
    </r>
    <r>
      <rPr>
        <b/>
        <sz val="15"/>
        <color rgb="FFFFFFFF"/>
        <rFont val="Carlito"/>
        <family val="2"/>
        <charset val="134"/>
      </rPr>
      <t>—</t>
    </r>
    <r>
      <rPr>
        <b/>
        <sz val="15"/>
        <color rgb="FFFFFFFF"/>
        <rFont val="微软雅黑"/>
        <family val="2"/>
        <charset val="134"/>
      </rPr>
      <t>校准</t>
    </r>
    <phoneticPr fontId="13" type="noConversion"/>
  </si>
  <si>
    <t>→ 4.8—4.9 多目标优化与调度
调用预测场景、物理可行域和状态
进行经济/环保/可靠性Pareto优化</t>
  </si>
  <si>
    <t>→ 4.5 构网型混合储能中枢
接收可用功率、P-Q、爬坡和备用
输出平抑/调频/调压/黑启动能力</t>
  </si>
  <si>
    <t>→ 4.4 多端口耦合与功率平衡
源侧注入 + 辅机 + 损耗账本
校验balanceMismatch≈0</t>
  </si>
  <si>
    <t>▼</t>
  </si>
  <si>
    <t>4.3标准输出接口
pAvailableGross ｜ pCollectionLoss ｜ pAvailableAtPOI ｜ pForecastAvailable ｜ scenarioAvailable/Probability
qMinAtPOI / qMaxAtPOI ｜ pUpCapability / pDownCapability ｜ rampLimit
operatingState ｜ constraintCode ｜ qualityFlag ｜ parameterSetId</t>
  </si>
  <si>
    <t>统一适配层｜单机/组件/装置 → 阵列 → 设备交流端MP-01 → 源内集电MP-02 → source_collection_bus MP-03
统一处理：状态与降额、阵列/拓扑损失、计量不确定度、质量码、预测误差和多场景相关性
冻结关系：pAvailableAtPOI = pAvailableGross − pCollectionLoss；pSourceAux不在此重复扣除</t>
  </si>
  <si>
    <t>潮流能子模型
有符号流速剖面→涨/落潮功率曲线
换向/死区/尾流/阻塞修正
切入—额定—保护—复归</t>
  </si>
  <si>
    <t>漂浮式光伏子模型
动态POA辐照→组件温度→DC功率
姿态/遮挡/失配/盐雾污损修正
逆变器与组串状态</t>
  </si>
  <si>
    <t>漂浮式风电子模型
有效入流→功率曲线
平台运动/双转子/尾流修正
切入—额定—降额—停机—复归</t>
  </si>
  <si>
    <t>输入层 D｜预测与EMS指令
日前/日内/超短期预测及场景
requested / accepted / actual
forecastError + scenarioProbability</t>
  </si>
  <si>
    <t>输入层 C｜运行状态与事件
可用/降额、故障/检修、台风策略
事件标签、控制版本、恢复过程
availability + operatingState</t>
  </si>
  <si>
    <t>输入层 B｜设备与参数版本
型号、功率/效率曲线、平台/系泊
阵列布局、电气拓扑、P-Q包络
assetConfigId + parameterSetId</t>
  </si>
  <si>
    <t>输入层 A｜同场环境与海况
风速/风向、辐照/温度、潮流剖面
波高/周期、空气密度、平台6DOF
time + qualityFlag</t>
  </si>
  <si>
    <t>边界原则：4.3生成各类电源在source_collection_bus处的可用功率、无功与调节能力；不负责储能平抑和价值端口分配。pSourceAux在4.4作为负荷单列，避免重复扣除。</t>
  </si>
  <si>
    <t>4.3 多能源供给模型接口图（会议版）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</si>
</sst>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7"/>
      <color rgb="FFFFFFFF"/>
      <name val="Carlito"/>
    </font>
    <font>
      <sz val="11"/>
      <color rgb="FF333333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1"/>
      <color rgb="FF404040"/>
      <name val="Carlito"/>
    </font>
    <font>
      <sz val="10"/>
      <color rgb="FF222222"/>
      <name val="Carlito"/>
    </font>
    <font>
      <b/>
      <sz val="10"/>
      <color rgb="FFFFFFFF"/>
      <name val="Microsoft YaHei"/>
      <family val="2"/>
      <charset val="134"/>
    </font>
    <font>
      <i/>
      <sz val="10"/>
      <color rgb="FF40404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222222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5"/>
      <color rgb="FFFFFFFF"/>
      <name val="微软雅黑"/>
      <family val="2"/>
      <charset val="134"/>
    </font>
    <font>
      <b/>
      <sz val="15"/>
      <color rgb="FFFFFFFF"/>
      <name val="Carlito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1F4E78"/>
      <name val="Microsoft YaHei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9EEF7"/>
      </patternFill>
    </fill>
    <fill>
      <patternFill patternType="solid">
        <fgColor rgb="FFFFF2CC"/>
      </patternFill>
    </fill>
    <fill>
      <patternFill patternType="solid">
        <fgColor rgb="FFF4FAFD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7FBFD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 style="medium">
        <color rgb="FF5B9BD5"/>
      </left>
      <right/>
      <top/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/>
      <diagonal/>
    </border>
  </borders>
  <cellStyleXfs count="2">
    <xf numFmtId="0" fontId="0" fillId="0" borderId="0"/>
    <xf numFmtId="0" fontId="12" fillId="0" borderId="0"/>
  </cellStyleXfs>
  <cellXfs count="130">
    <xf numFmtId="0" fontId="0" fillId="0" borderId="0" xfId="0"/>
    <xf numFmtId="0" fontId="4" fillId="5" borderId="1" xfId="1" applyFont="1" applyFill="1" applyBorder="1" applyAlignment="1">
      <alignment vertical="top" wrapText="1"/>
    </xf>
    <xf numFmtId="0" fontId="0" fillId="5" borderId="1" xfId="1" applyFont="1" applyFill="1" applyBorder="1" applyAlignment="1">
      <alignment vertical="top" wrapText="1"/>
    </xf>
    <xf numFmtId="0" fontId="4" fillId="7" borderId="1" xfId="1" applyFont="1" applyFill="1" applyBorder="1" applyAlignment="1">
      <alignment vertical="top" wrapText="1"/>
    </xf>
    <xf numFmtId="0" fontId="0" fillId="7" borderId="1" xfId="1" applyFont="1" applyFill="1" applyBorder="1" applyAlignment="1">
      <alignment vertical="top" wrapText="1"/>
    </xf>
    <xf numFmtId="0" fontId="4" fillId="8" borderId="1" xfId="1" applyFont="1" applyFill="1" applyBorder="1" applyAlignment="1">
      <alignment vertical="top" wrapText="1"/>
    </xf>
    <xf numFmtId="0" fontId="0" fillId="8" borderId="1" xfId="1" applyFont="1" applyFill="1" applyBorder="1" applyAlignment="1">
      <alignment vertical="top" wrapText="1"/>
    </xf>
    <xf numFmtId="0" fontId="4" fillId="9" borderId="1" xfId="1" applyFont="1" applyFill="1" applyBorder="1" applyAlignment="1">
      <alignment vertical="top" wrapText="1"/>
    </xf>
    <xf numFmtId="0" fontId="0" fillId="9" borderId="1" xfId="1" applyFont="1" applyFill="1" applyBorder="1" applyAlignment="1">
      <alignment vertical="top" wrapText="1"/>
    </xf>
    <xf numFmtId="0" fontId="4" fillId="3" borderId="2" xfId="1" applyFont="1" applyFill="1" applyBorder="1" applyAlignment="1">
      <alignment horizontal="center" vertical="top" wrapText="1"/>
    </xf>
    <xf numFmtId="0" fontId="4" fillId="3" borderId="3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 vertical="top" wrapText="1"/>
    </xf>
    <xf numFmtId="0" fontId="4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7" fillId="0" borderId="4" xfId="1" applyFont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7" fillId="7" borderId="3" xfId="1" applyFont="1" applyFill="1" applyBorder="1" applyAlignment="1">
      <alignment vertical="top" wrapText="1"/>
    </xf>
    <xf numFmtId="0" fontId="7" fillId="7" borderId="4" xfId="1" applyFont="1" applyFill="1" applyBorder="1" applyAlignment="1">
      <alignment vertical="top" wrapText="1"/>
    </xf>
    <xf numFmtId="0" fontId="7" fillId="3" borderId="2" xfId="1" applyFont="1" applyFill="1" applyBorder="1" applyAlignment="1">
      <alignment vertical="top" wrapText="1"/>
    </xf>
    <xf numFmtId="0" fontId="7" fillId="3" borderId="3" xfId="1" applyFont="1" applyFill="1" applyBorder="1" applyAlignment="1">
      <alignment vertical="top" wrapText="1"/>
    </xf>
    <xf numFmtId="0" fontId="7" fillId="3" borderId="4" xfId="1" applyFont="1" applyFill="1" applyBorder="1" applyAlignment="1">
      <alignment vertical="top" wrapText="1"/>
    </xf>
    <xf numFmtId="0" fontId="0" fillId="0" borderId="0" xfId="1" applyFont="1" applyAlignment="1">
      <alignment vertical="top"/>
    </xf>
    <xf numFmtId="0" fontId="3" fillId="4" borderId="0" xfId="1" applyFont="1" applyFill="1" applyAlignment="1">
      <alignment vertical="top"/>
    </xf>
    <xf numFmtId="0" fontId="4" fillId="3" borderId="0" xfId="1" applyFont="1" applyFill="1" applyAlignment="1">
      <alignment vertical="top"/>
    </xf>
    <xf numFmtId="1" fontId="4" fillId="5" borderId="0" xfId="1" applyNumberFormat="1" applyFont="1" applyFill="1" applyAlignment="1">
      <alignment horizontal="center" vertical="top"/>
    </xf>
    <xf numFmtId="0" fontId="3" fillId="4" borderId="5" xfId="1" applyFont="1" applyFill="1" applyBorder="1" applyAlignment="1">
      <alignment horizontal="center" vertical="top" wrapText="1"/>
    </xf>
    <xf numFmtId="0" fontId="3" fillId="4" borderId="6" xfId="1" applyFont="1" applyFill="1" applyBorder="1" applyAlignment="1">
      <alignment horizontal="center" vertical="top" wrapText="1"/>
    </xf>
    <xf numFmtId="0" fontId="3" fillId="4" borderId="7" xfId="1" applyFont="1" applyFill="1" applyBorder="1" applyAlignment="1">
      <alignment horizontal="center" vertical="top" wrapText="1"/>
    </xf>
    <xf numFmtId="0" fontId="10" fillId="0" borderId="0" xfId="1" applyFont="1" applyAlignment="1">
      <alignment vertical="top"/>
    </xf>
    <xf numFmtId="0" fontId="8" fillId="4" borderId="5" xfId="1" applyFont="1" applyFill="1" applyBorder="1" applyAlignment="1">
      <alignment horizontal="center" vertical="top" wrapText="1"/>
    </xf>
    <xf numFmtId="0" fontId="8" fillId="4" borderId="6" xfId="1" applyFont="1" applyFill="1" applyBorder="1" applyAlignment="1">
      <alignment horizontal="center" vertical="top" wrapText="1"/>
    </xf>
    <xf numFmtId="0" fontId="8" fillId="4" borderId="7" xfId="1" applyFont="1" applyFill="1" applyBorder="1" applyAlignment="1">
      <alignment horizontal="center" vertical="top" wrapText="1"/>
    </xf>
    <xf numFmtId="0" fontId="11" fillId="0" borderId="2" xfId="1" applyFont="1" applyBorder="1" applyAlignment="1">
      <alignment vertical="top" wrapText="1"/>
    </xf>
    <xf numFmtId="0" fontId="11" fillId="7" borderId="2" xfId="1" applyFont="1" applyFill="1" applyBorder="1" applyAlignment="1">
      <alignment vertical="top" wrapText="1"/>
    </xf>
    <xf numFmtId="0" fontId="11" fillId="3" borderId="2" xfId="1" applyFont="1" applyFill="1" applyBorder="1" applyAlignment="1">
      <alignment vertical="top" wrapText="1"/>
    </xf>
    <xf numFmtId="0" fontId="11" fillId="0" borderId="3" xfId="1" applyFont="1" applyBorder="1" applyAlignment="1">
      <alignment vertical="top" wrapText="1"/>
    </xf>
    <xf numFmtId="0" fontId="11" fillId="7" borderId="3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 wrapText="1"/>
    </xf>
    <xf numFmtId="0" fontId="11" fillId="0" borderId="4" xfId="1" applyFont="1" applyBorder="1" applyAlignment="1">
      <alignment vertical="top" wrapText="1"/>
    </xf>
    <xf numFmtId="0" fontId="11" fillId="7" borderId="4" xfId="1" applyFont="1" applyFill="1" applyBorder="1" applyAlignment="1">
      <alignment vertical="top" wrapText="1"/>
    </xf>
    <xf numFmtId="0" fontId="11" fillId="3" borderId="4" xfId="1" applyFont="1" applyFill="1" applyBorder="1" applyAlignment="1">
      <alignment vertical="top" wrapText="1"/>
    </xf>
    <xf numFmtId="0" fontId="10" fillId="10" borderId="8" xfId="1" applyFont="1" applyFill="1" applyBorder="1" applyAlignment="1">
      <alignment vertical="top" wrapText="1"/>
    </xf>
    <xf numFmtId="0" fontId="10" fillId="11" borderId="8" xfId="1" applyFont="1" applyFill="1" applyBorder="1" applyAlignment="1">
      <alignment vertical="top" wrapText="1"/>
    </xf>
    <xf numFmtId="0" fontId="10" fillId="12" borderId="8" xfId="1" applyFont="1" applyFill="1" applyBorder="1" applyAlignment="1">
      <alignment vertical="top" wrapText="1"/>
    </xf>
    <xf numFmtId="0" fontId="10" fillId="0" borderId="0" xfId="1" applyFont="1"/>
    <xf numFmtId="0" fontId="8" fillId="15" borderId="8" xfId="1" applyFont="1" applyFill="1" applyBorder="1" applyAlignment="1">
      <alignment horizontal="center" vertical="center" wrapText="1"/>
    </xf>
    <xf numFmtId="0" fontId="10" fillId="16" borderId="8" xfId="1" applyFont="1" applyFill="1" applyBorder="1" applyAlignment="1">
      <alignment vertical="top" wrapText="1"/>
    </xf>
    <xf numFmtId="0" fontId="10" fillId="17" borderId="8" xfId="1" applyFont="1" applyFill="1" applyBorder="1" applyAlignment="1">
      <alignment vertical="top" wrapText="1"/>
    </xf>
    <xf numFmtId="0" fontId="10" fillId="18" borderId="8" xfId="1" applyFont="1" applyFill="1" applyBorder="1" applyAlignment="1">
      <alignment vertical="top" wrapText="1"/>
    </xf>
    <xf numFmtId="0" fontId="10" fillId="19" borderId="8" xfId="1" applyFont="1" applyFill="1" applyBorder="1" applyAlignment="1">
      <alignment vertical="top" wrapText="1"/>
    </xf>
    <xf numFmtId="0" fontId="8" fillId="14" borderId="0" xfId="1" applyFont="1" applyFill="1" applyAlignment="1">
      <alignment vertical="center"/>
    </xf>
    <xf numFmtId="0" fontId="9" fillId="13" borderId="0" xfId="1" applyFont="1" applyFill="1" applyAlignment="1">
      <alignment vertical="center" wrapText="1"/>
    </xf>
    <xf numFmtId="0" fontId="1" fillId="2" borderId="0" xfId="1" applyFont="1" applyFill="1" applyAlignment="1">
      <alignment vertical="top"/>
    </xf>
    <xf numFmtId="0" fontId="2" fillId="3" borderId="0" xfId="1" applyFont="1" applyFill="1" applyAlignment="1">
      <alignment vertical="top" wrapText="1"/>
    </xf>
    <xf numFmtId="0" fontId="3" fillId="6" borderId="0" xfId="1" applyFont="1" applyFill="1" applyAlignment="1">
      <alignment vertical="top"/>
    </xf>
    <xf numFmtId="0" fontId="3" fillId="4" borderId="0" xfId="1" applyFont="1" applyFill="1" applyAlignment="1">
      <alignment vertical="top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5" fillId="2" borderId="0" xfId="1" applyFont="1" applyFill="1" applyAlignment="1">
      <alignment vertical="top"/>
    </xf>
    <xf numFmtId="0" fontId="6" fillId="3" borderId="0" xfId="1" applyFont="1" applyFill="1" applyAlignment="1">
      <alignment vertical="top" wrapText="1"/>
    </xf>
    <xf numFmtId="0" fontId="15" fillId="2" borderId="0" xfId="1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16" fillId="11" borderId="9" xfId="1" applyFont="1" applyFill="1" applyBorder="1" applyAlignment="1">
      <alignment horizontal="center" vertical="center" wrapText="1"/>
    </xf>
    <xf numFmtId="0" fontId="16" fillId="11" borderId="10" xfId="1" applyFont="1" applyFill="1" applyBorder="1" applyAlignment="1">
      <alignment horizontal="center" vertical="center" wrapText="1"/>
    </xf>
    <xf numFmtId="0" fontId="16" fillId="11" borderId="11" xfId="1" applyFont="1" applyFill="1" applyBorder="1" applyAlignment="1">
      <alignment horizontal="center" vertical="center" wrapText="1"/>
    </xf>
    <xf numFmtId="0" fontId="16" fillId="17" borderId="9" xfId="1" applyFont="1" applyFill="1" applyBorder="1" applyAlignment="1">
      <alignment horizontal="center" vertical="center" wrapText="1"/>
    </xf>
    <xf numFmtId="0" fontId="16" fillId="17" borderId="10" xfId="1" applyFont="1" applyFill="1" applyBorder="1" applyAlignment="1">
      <alignment horizontal="center" vertical="center" wrapText="1"/>
    </xf>
    <xf numFmtId="0" fontId="16" fillId="17" borderId="11" xfId="1" applyFont="1" applyFill="1" applyBorder="1" applyAlignment="1">
      <alignment horizontal="center" vertical="center" wrapText="1"/>
    </xf>
    <xf numFmtId="0" fontId="16" fillId="16" borderId="9" xfId="1" applyFont="1" applyFill="1" applyBorder="1" applyAlignment="1">
      <alignment horizontal="center" vertical="center" wrapText="1"/>
    </xf>
    <xf numFmtId="0" fontId="16" fillId="16" borderId="10" xfId="1" applyFont="1" applyFill="1" applyBorder="1" applyAlignment="1">
      <alignment horizontal="center" vertical="center" wrapText="1"/>
    </xf>
    <xf numFmtId="0" fontId="16" fillId="16" borderId="11" xfId="1" applyFont="1" applyFill="1" applyBorder="1" applyAlignment="1">
      <alignment horizontal="center" vertical="center" wrapText="1"/>
    </xf>
    <xf numFmtId="0" fontId="16" fillId="11" borderId="12" xfId="1" applyFont="1" applyFill="1" applyBorder="1" applyAlignment="1">
      <alignment horizontal="center" vertical="center" wrapText="1"/>
    </xf>
    <xf numFmtId="0" fontId="16" fillId="11" borderId="0" xfId="1" applyFont="1" applyFill="1" applyAlignment="1">
      <alignment horizontal="center" vertical="center" wrapText="1"/>
    </xf>
    <xf numFmtId="0" fontId="16" fillId="11" borderId="13" xfId="1" applyFont="1" applyFill="1" applyBorder="1" applyAlignment="1">
      <alignment horizontal="center" vertical="center" wrapText="1"/>
    </xf>
    <xf numFmtId="0" fontId="16" fillId="17" borderId="12" xfId="1" applyFont="1" applyFill="1" applyBorder="1" applyAlignment="1">
      <alignment horizontal="center" vertical="center" wrapText="1"/>
    </xf>
    <xf numFmtId="0" fontId="16" fillId="17" borderId="0" xfId="1" applyFont="1" applyFill="1" applyAlignment="1">
      <alignment horizontal="center" vertical="center" wrapText="1"/>
    </xf>
    <xf numFmtId="0" fontId="16" fillId="17" borderId="13" xfId="1" applyFont="1" applyFill="1" applyBorder="1" applyAlignment="1">
      <alignment horizontal="center" vertical="center" wrapText="1"/>
    </xf>
    <xf numFmtId="0" fontId="16" fillId="16" borderId="12" xfId="1" applyFont="1" applyFill="1" applyBorder="1" applyAlignment="1">
      <alignment horizontal="center" vertical="center" wrapText="1"/>
    </xf>
    <xf numFmtId="0" fontId="16" fillId="16" borderId="0" xfId="1" applyFont="1" applyFill="1" applyAlignment="1">
      <alignment horizontal="center" vertical="center" wrapText="1"/>
    </xf>
    <xf numFmtId="0" fontId="16" fillId="16" borderId="13" xfId="1" applyFont="1" applyFill="1" applyBorder="1" applyAlignment="1">
      <alignment horizontal="center" vertical="center" wrapText="1"/>
    </xf>
    <xf numFmtId="0" fontId="16" fillId="11" borderId="14" xfId="1" applyFont="1" applyFill="1" applyBorder="1" applyAlignment="1">
      <alignment horizontal="center" vertical="center" wrapText="1"/>
    </xf>
    <xf numFmtId="0" fontId="16" fillId="11" borderId="15" xfId="1" applyFont="1" applyFill="1" applyBorder="1" applyAlignment="1">
      <alignment horizontal="center" vertical="center" wrapText="1"/>
    </xf>
    <xf numFmtId="0" fontId="16" fillId="11" borderId="16" xfId="1" applyFont="1" applyFill="1" applyBorder="1" applyAlignment="1">
      <alignment horizontal="center" vertical="center" wrapText="1"/>
    </xf>
    <xf numFmtId="0" fontId="16" fillId="17" borderId="14" xfId="1" applyFont="1" applyFill="1" applyBorder="1" applyAlignment="1">
      <alignment horizontal="center" vertical="center" wrapText="1"/>
    </xf>
    <xf numFmtId="0" fontId="16" fillId="17" borderId="15" xfId="1" applyFont="1" applyFill="1" applyBorder="1" applyAlignment="1">
      <alignment horizontal="center" vertical="center" wrapText="1"/>
    </xf>
    <xf numFmtId="0" fontId="16" fillId="17" borderId="16" xfId="1" applyFont="1" applyFill="1" applyBorder="1" applyAlignment="1">
      <alignment horizontal="center" vertical="center" wrapText="1"/>
    </xf>
    <xf numFmtId="0" fontId="16" fillId="16" borderId="14" xfId="1" applyFont="1" applyFill="1" applyBorder="1" applyAlignment="1">
      <alignment horizontal="center" vertical="center" wrapText="1"/>
    </xf>
    <xf numFmtId="0" fontId="16" fillId="16" borderId="15" xfId="1" applyFont="1" applyFill="1" applyBorder="1" applyAlignment="1">
      <alignment horizontal="center" vertical="center" wrapText="1"/>
    </xf>
    <xf numFmtId="0" fontId="16" fillId="16" borderId="16" xfId="1" applyFont="1" applyFill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8" fillId="14" borderId="9" xfId="1" applyFont="1" applyFill="1" applyBorder="1" applyAlignment="1">
      <alignment horizontal="center" vertical="center" wrapText="1"/>
    </xf>
    <xf numFmtId="0" fontId="8" fillId="14" borderId="10" xfId="1" applyFont="1" applyFill="1" applyBorder="1" applyAlignment="1">
      <alignment horizontal="center" vertical="center" wrapText="1"/>
    </xf>
    <xf numFmtId="0" fontId="8" fillId="14" borderId="11" xfId="1" applyFont="1" applyFill="1" applyBorder="1" applyAlignment="1">
      <alignment horizontal="center" vertical="center" wrapText="1"/>
    </xf>
    <xf numFmtId="0" fontId="8" fillId="14" borderId="12" xfId="1" applyFont="1" applyFill="1" applyBorder="1" applyAlignment="1">
      <alignment horizontal="center" vertical="center" wrapText="1"/>
    </xf>
    <xf numFmtId="0" fontId="8" fillId="14" borderId="0" xfId="1" applyFont="1" applyFill="1" applyAlignment="1">
      <alignment horizontal="center" vertical="center" wrapText="1"/>
    </xf>
    <xf numFmtId="0" fontId="8" fillId="14" borderId="13" xfId="1" applyFont="1" applyFill="1" applyBorder="1" applyAlignment="1">
      <alignment horizontal="center" vertical="center" wrapText="1"/>
    </xf>
    <xf numFmtId="0" fontId="8" fillId="14" borderId="14" xfId="1" applyFont="1" applyFill="1" applyBorder="1" applyAlignment="1">
      <alignment horizontal="center" vertical="center" wrapText="1"/>
    </xf>
    <xf numFmtId="0" fontId="8" fillId="14" borderId="15" xfId="1" applyFont="1" applyFill="1" applyBorder="1" applyAlignment="1">
      <alignment horizontal="center" vertical="center" wrapText="1"/>
    </xf>
    <xf numFmtId="0" fontId="8" fillId="14" borderId="16" xfId="1" applyFont="1" applyFill="1" applyBorder="1" applyAlignment="1">
      <alignment horizontal="center" vertical="center" wrapText="1"/>
    </xf>
    <xf numFmtId="0" fontId="16" fillId="13" borderId="9" xfId="1" applyFont="1" applyFill="1" applyBorder="1" applyAlignment="1">
      <alignment horizontal="center" vertical="center" wrapText="1"/>
    </xf>
    <xf numFmtId="0" fontId="16" fillId="13" borderId="10" xfId="1" applyFont="1" applyFill="1" applyBorder="1" applyAlignment="1">
      <alignment horizontal="center" vertical="center" wrapText="1"/>
    </xf>
    <xf numFmtId="0" fontId="16" fillId="13" borderId="11" xfId="1" applyFont="1" applyFill="1" applyBorder="1" applyAlignment="1">
      <alignment horizontal="center" vertical="center" wrapText="1"/>
    </xf>
    <xf numFmtId="0" fontId="16" fillId="13" borderId="12" xfId="1" applyFont="1" applyFill="1" applyBorder="1" applyAlignment="1">
      <alignment horizontal="center" vertical="center" wrapText="1"/>
    </xf>
    <xf numFmtId="0" fontId="16" fillId="13" borderId="0" xfId="1" applyFont="1" applyFill="1" applyAlignment="1">
      <alignment horizontal="center" vertical="center" wrapText="1"/>
    </xf>
    <xf numFmtId="0" fontId="16" fillId="13" borderId="13" xfId="1" applyFont="1" applyFill="1" applyBorder="1" applyAlignment="1">
      <alignment horizontal="center" vertical="center" wrapText="1"/>
    </xf>
    <xf numFmtId="0" fontId="16" fillId="13" borderId="14" xfId="1" applyFont="1" applyFill="1" applyBorder="1" applyAlignment="1">
      <alignment horizontal="center" vertical="center" wrapText="1"/>
    </xf>
    <xf numFmtId="0" fontId="16" fillId="13" borderId="15" xfId="1" applyFont="1" applyFill="1" applyBorder="1" applyAlignment="1">
      <alignment horizontal="center" vertical="center" wrapText="1"/>
    </xf>
    <xf numFmtId="0" fontId="16" fillId="13" borderId="16" xfId="1" applyFont="1" applyFill="1" applyBorder="1" applyAlignment="1">
      <alignment horizontal="center" vertical="center" wrapText="1"/>
    </xf>
    <xf numFmtId="0" fontId="16" fillId="20" borderId="9" xfId="1" applyFont="1" applyFill="1" applyBorder="1" applyAlignment="1">
      <alignment horizontal="center" vertical="center" wrapText="1"/>
    </xf>
    <xf numFmtId="0" fontId="16" fillId="20" borderId="10" xfId="1" applyFont="1" applyFill="1" applyBorder="1" applyAlignment="1">
      <alignment horizontal="center" vertical="center" wrapText="1"/>
    </xf>
    <xf numFmtId="0" fontId="16" fillId="20" borderId="11" xfId="1" applyFont="1" applyFill="1" applyBorder="1" applyAlignment="1">
      <alignment horizontal="center" vertical="center" wrapText="1"/>
    </xf>
    <xf numFmtId="0" fontId="16" fillId="20" borderId="12" xfId="1" applyFont="1" applyFill="1" applyBorder="1" applyAlignment="1">
      <alignment horizontal="center" vertical="center" wrapText="1"/>
    </xf>
    <xf numFmtId="0" fontId="16" fillId="20" borderId="0" xfId="1" applyFont="1" applyFill="1" applyAlignment="1">
      <alignment horizontal="center" vertical="center" wrapText="1"/>
    </xf>
    <xf numFmtId="0" fontId="16" fillId="20" borderId="13" xfId="1" applyFont="1" applyFill="1" applyBorder="1" applyAlignment="1">
      <alignment horizontal="center" vertical="center" wrapText="1"/>
    </xf>
    <xf numFmtId="0" fontId="16" fillId="20" borderId="14" xfId="1" applyFont="1" applyFill="1" applyBorder="1" applyAlignment="1">
      <alignment horizontal="center" vertical="center" wrapText="1"/>
    </xf>
    <xf numFmtId="0" fontId="16" fillId="20" borderId="15" xfId="1" applyFont="1" applyFill="1" applyBorder="1" applyAlignment="1">
      <alignment horizontal="center" vertical="center" wrapText="1"/>
    </xf>
    <xf numFmtId="0" fontId="16" fillId="20" borderId="16" xfId="1" applyFont="1" applyFill="1" applyBorder="1" applyAlignment="1">
      <alignment horizontal="center" vertical="center" wrapText="1"/>
    </xf>
    <xf numFmtId="0" fontId="16" fillId="18" borderId="9" xfId="1" applyFont="1" applyFill="1" applyBorder="1" applyAlignment="1">
      <alignment horizontal="center" vertical="center" wrapText="1"/>
    </xf>
    <xf numFmtId="0" fontId="16" fillId="18" borderId="10" xfId="1" applyFont="1" applyFill="1" applyBorder="1" applyAlignment="1">
      <alignment horizontal="center" vertical="center" wrapText="1"/>
    </xf>
    <xf numFmtId="0" fontId="16" fillId="18" borderId="11" xfId="1" applyFont="1" applyFill="1" applyBorder="1" applyAlignment="1">
      <alignment horizontal="center" vertical="center" wrapText="1"/>
    </xf>
    <xf numFmtId="0" fontId="16" fillId="18" borderId="12" xfId="1" applyFont="1" applyFill="1" applyBorder="1" applyAlignment="1">
      <alignment horizontal="center" vertical="center" wrapText="1"/>
    </xf>
    <xf numFmtId="0" fontId="16" fillId="18" borderId="0" xfId="1" applyFont="1" applyFill="1" applyAlignment="1">
      <alignment horizontal="center" vertical="center" wrapText="1"/>
    </xf>
    <xf numFmtId="0" fontId="16" fillId="18" borderId="13" xfId="1" applyFont="1" applyFill="1" applyBorder="1" applyAlignment="1">
      <alignment horizontal="center" vertical="center" wrapText="1"/>
    </xf>
    <xf numFmtId="0" fontId="16" fillId="18" borderId="14" xfId="1" applyFont="1" applyFill="1" applyBorder="1" applyAlignment="1">
      <alignment horizontal="center" vertical="center" wrapText="1"/>
    </xf>
    <xf numFmtId="0" fontId="16" fillId="18" borderId="15" xfId="1" applyFont="1" applyFill="1" applyBorder="1" applyAlignment="1">
      <alignment horizontal="center" vertical="center" wrapText="1"/>
    </xf>
    <xf numFmtId="0" fontId="16" fillId="18" borderId="16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Table" displayName="_01Table" ref="A4:K13" totalsRowShown="0">
  <tableColumns count="11">
    <tableColumn id="1" xr3:uid="{00000000-0010-0000-0000-000001000000}" name="ID"/>
    <tableColumn id="2" xr3:uid="{00000000-0010-0000-0000-000002000000}" name="层级/测点"/>
    <tableColumn id="3" xr3:uid="{00000000-0010-0000-0000-000003000000}" name="冻结变量"/>
    <tableColumn id="4" xr3:uid="{00000000-0010-0000-0000-000004000000}" name="正方向"/>
    <tableColumn id="5" xr3:uid="{00000000-0010-0000-0000-000005000000}" name="包含内容"/>
    <tableColumn id="6" xr3:uid="{00000000-0010-0000-0000-000006000000}" name="不包含内容"/>
    <tableColumn id="7" xr3:uid="{00000000-0010-0000-0000-000007000000}" name="损耗/辅机处理"/>
    <tableColumn id="8" xr3:uid="{00000000-0010-0000-0000-000008000000}" name="归属章节"/>
    <tableColumn id="9" xr3:uid="{00000000-0010-0000-0000-000009000000}" name="数据获取"/>
    <tableColumn id="10" xr3:uid="{00000000-0010-0000-0000-00000A000000}" name="冻结状态"/>
    <tableColumn id="11" xr3:uid="{00000000-0010-0000-0000-00000B000000}" name="核验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Table" displayName="_02Table" ref="A4:O68" totalsRowShown="0">
  <tableColumns count="15">
    <tableColumn id="1" xr3:uid="{00000000-0010-0000-0100-000001000000}" name="变量ID"/>
    <tableColumn id="2" xr3:uid="{00000000-0010-0000-0100-000002000000}" name="模块"/>
    <tableColumn id="3" xr3:uid="{00000000-0010-0000-0100-000003000000}" name="V3字段"/>
    <tableColumn id="4" xr3:uid="{00000000-0010-0000-0100-000004000000}" name="符号"/>
    <tableColumn id="5" xr3:uid="{00000000-0010-0000-0100-000005000000}" name="中文名称"/>
    <tableColumn id="6" xr3:uid="{00000000-0010-0000-0100-000006000000}" name="角色"/>
    <tableColumn id="7" xr3:uid="{00000000-0010-0000-0100-000007000000}" name="数据类型/维度"/>
    <tableColumn id="8" xr3:uid="{00000000-0010-0000-0100-000008000000}" name="单位"/>
    <tableColumn id="9" xr3:uid="{00000000-0010-0000-0100-000009000000}" name="正方向/取值域"/>
    <tableColumn id="10" xr3:uid="{00000000-0010-0000-0100-00000A000000}" name="测点"/>
    <tableColumn id="11" xr3:uid="{00000000-0010-0000-0100-00000B000000}" name="公开来源/依据"/>
    <tableColumn id="12" xr3:uid="{00000000-0010-0000-0100-00000C000000}" name="获取分类"/>
    <tableColumn id="13" xr3:uid="{00000000-0010-0000-0100-00000D000000}" name="企业交流内容"/>
    <tableColumn id="14" xr3:uid="{00000000-0010-0000-0100-00000E000000}" name="当前状态"/>
    <tableColumn id="15" xr3:uid="{00000000-0010-0000-0100-00000F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Table" displayName="_03Table" ref="A4:K11" totalsRowShown="0">
  <tableColumns count="11">
    <tableColumn id="1" xr3:uid="{00000000-0010-0000-0200-000001000000}" name="设备ID"/>
    <tableColumn id="2" xr3:uid="{00000000-0010-0000-0200-000002000000}" name="能源类型"/>
    <tableColumn id="3" xr3:uid="{00000000-0010-0000-0200-000003000000}" name="国产参考设备/项目"/>
    <tableColumn id="4" xr3:uid="{00000000-0010-0000-0200-000004000000}" name="单位/开发商"/>
    <tableColumn id="5" xr3:uid="{00000000-0010-0000-0200-000005000000}" name="公开技术基线"/>
    <tableColumn id="6" xr3:uid="{00000000-0010-0000-0200-000006000000}" name="建模用途"/>
    <tableColumn id="7" xr3:uid="{00000000-0010-0000-0200-000007000000}" name="公开可获取内容"/>
    <tableColumn id="8" xr3:uid="{00000000-0010-0000-0200-000008000000}" name="必须企业交流内容"/>
    <tableColumn id="9" xr3:uid="{00000000-0010-0000-0200-000009000000}" name="建议定位"/>
    <tableColumn id="10" xr3:uid="{00000000-0010-0000-0200-00000A000000}" name="公开来源URL"/>
    <tableColumn id="11" xr3:uid="{00000000-0010-0000-0200-00000B000000}" name="核验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Table" displayName="_04Table" ref="A4:M19" totalsRowShown="0">
  <tableColumns count="13">
    <tableColumn id="1" xr3:uid="{00000000-0010-0000-0300-000001000000}" name="数据ID"/>
    <tableColumn id="2" xr3:uid="{00000000-0010-0000-0300-000002000000}" name="域"/>
    <tableColumn id="3" xr3:uid="{00000000-0010-0000-0300-000003000000}" name="变量/数据组"/>
    <tableColumn id="4" xr3:uid="{00000000-0010-0000-0300-000004000000}" name="原始建议频率"/>
    <tableColumn id="5" xr3:uid="{00000000-0010-0000-0300-000005000000}" name="统一调度频率"/>
    <tableColumn id="6" xr3:uid="{00000000-0010-0000-0300-000006000000}" name="空间/垂向要求"/>
    <tableColumn id="7" xr3:uid="{00000000-0010-0000-0300-000007000000}" name="时间/坐标要求"/>
    <tableColumn id="8" xr3:uid="{00000000-0010-0000-0300-000008000000}" name="公开数据基线"/>
    <tableColumn id="9" xr3:uid="{00000000-0010-0000-0300-000009000000}" name="现场/企业数据"/>
    <tableColumn id="10" xr3:uid="{00000000-0010-0000-0300-00000A000000}" name="获取分类"/>
    <tableColumn id="11" xr3:uid="{00000000-0010-0000-0300-00000B000000}" name="质量控制"/>
    <tableColumn id="12" xr3:uid="{00000000-0010-0000-0300-00000C000000}" name="用途"/>
    <tableColumn id="13" xr3:uid="{00000000-0010-0000-0300-00000D000000}" name="优先级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Table" displayName="_05Table" ref="A4:N29" totalsRowShown="0">
  <tableColumns count="14">
    <tableColumn id="1" xr3:uid="{00000000-0010-0000-0400-000001000000}" name="证据ID"/>
    <tableColumn id="2" xr3:uid="{00000000-0010-0000-0400-000002000000}" name="模块"/>
    <tableColumn id="3" xr3:uid="{00000000-0010-0000-0400-000003000000}" name="公式/参数/设备"/>
    <tableColumn id="4" xr3:uid="{00000000-0010-0000-0400-000004000000}" name="当前表达/用途"/>
    <tableColumn id="5" xr3:uid="{00000000-0010-0000-0400-000005000000}" name="证据类型"/>
    <tableColumn id="6" xr3:uid="{00000000-0010-0000-0400-000006000000}" name="首选公开依据"/>
    <tableColumn id="7" xr3:uid="{00000000-0010-0000-0400-000007000000}" name="公开URL"/>
    <tableColumn id="8" xr3:uid="{00000000-0010-0000-0400-000008000000}" name="获取分类"/>
    <tableColumn id="9" xr3:uid="{00000000-0010-0000-0400-000009000000}" name="公开证据状态"/>
    <tableColumn id="10" xr3:uid="{00000000-0010-0000-0400-00000A000000}" name="企业校准项"/>
    <tableColumn id="11" xr3:uid="{00000000-0010-0000-0400-00000B000000}" name="校准状态"/>
    <tableColumn id="12" xr3:uid="{00000000-0010-0000-0400-00000C000000}" name="可接受替代"/>
    <tableColumn id="13" xr3:uid="{00000000-0010-0000-0400-00000D000000}" name="正文标注"/>
    <tableColumn id="14" xr3:uid="{00000000-0010-0000-0400-00000E000000}" name="优先级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Table" displayName="_06Table" ref="A4:J20" totalsRowShown="0">
  <tableColumns count="10">
    <tableColumn id="1" xr3:uid="{00000000-0010-0000-0500-000001000000}" name="访谈ID"/>
    <tableColumn id="2" xr3:uid="{00000000-0010-0000-0500-000002000000}" name="对象"/>
    <tableColumn id="3" xr3:uid="{00000000-0010-0000-0500-000003000000}" name="必须获取的数据/文件"/>
    <tableColumn id="4" xr3:uid="{00000000-0010-0000-0500-000004000000}" name="为什么公开资料不能替代"/>
    <tableColumn id="5" xr3:uid="{00000000-0010-0000-0500-000005000000}" name="最小时间/空间粒度"/>
    <tableColumn id="6" xr3:uid="{00000000-0010-0000-0500-000006000000}" name="保密建议"/>
    <tableColumn id="7" xr3:uid="{00000000-0010-0000-0500-000007000000}" name="可接受降级替代"/>
    <tableColumn id="8" xr3:uid="{00000000-0010-0000-0500-000008000000}" name="对应变量/证据"/>
    <tableColumn id="9" xr3:uid="{00000000-0010-0000-0500-000009000000}" name="优先级"/>
    <tableColumn id="10" xr3:uid="{00000000-0010-0000-0500-00000A000000}" name="状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7Table" displayName="_07Table" ref="A4:J24" totalsRowShown="0">
  <tableColumns count="10">
    <tableColumn id="1" xr3:uid="{00000000-0010-0000-0600-000001000000}" name="资料ID"/>
    <tableColumn id="2" xr3:uid="{00000000-0010-0000-0600-000002000000}" name="类别"/>
    <tableColumn id="3" xr3:uid="{00000000-0010-0000-0600-000003000000}" name="标准/项目/数据集"/>
    <tableColumn id="4" xr3:uid="{00000000-0010-0000-0600-000004000000}" name="发布机构"/>
    <tableColumn id="5" xr3:uid="{00000000-0010-0000-0600-000005000000}" name="可公开获取内容"/>
    <tableColumn id="6" xr3:uid="{00000000-0010-0000-0600-000006000000}" name="不能解决的问题"/>
    <tableColumn id="7" xr3:uid="{00000000-0010-0000-0600-000007000000}" name="状态（2026-07-15）"/>
    <tableColumn id="8" xr3:uid="{00000000-0010-0000-0600-000008000000}" name="URL"/>
    <tableColumn id="9" xr3:uid="{00000000-0010-0000-0600-000009000000}" name="建议用途"/>
    <tableColumn id="10" xr3:uid="{00000000-0010-0000-0600-00000A000000}" name="来源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Y1" workbookViewId="0">
      <selection sqref="A1:H1"/>
    </sheetView>
  </sheetViews>
  <sheetFormatPr defaultRowHeight="13.5"/>
  <cols>
    <col min="1" max="1" width="7" customWidth="1"/>
    <col min="2" max="2" width="20" customWidth="1"/>
    <col min="3" max="3" width="19" customWidth="1"/>
    <col min="4" max="8" width="17" customWidth="1"/>
  </cols>
  <sheetData>
    <row r="1" spans="1:8" ht="34.049999999999997" customHeight="1">
      <c r="A1" s="55" t="s">
        <v>0</v>
      </c>
      <c r="B1" s="55"/>
      <c r="C1" s="55"/>
      <c r="D1" s="55"/>
      <c r="E1" s="55"/>
      <c r="F1" s="55"/>
      <c r="G1" s="55"/>
      <c r="H1" s="55"/>
    </row>
    <row r="2" spans="1:8">
      <c r="A2" s="24"/>
      <c r="B2" s="24"/>
      <c r="C2" s="24"/>
      <c r="D2" s="24"/>
      <c r="E2" s="24"/>
      <c r="F2" s="24"/>
      <c r="G2" s="24"/>
      <c r="H2" s="24"/>
    </row>
    <row r="3" spans="1:8" ht="38" customHeight="1">
      <c r="A3" s="56" t="s">
        <v>1</v>
      </c>
      <c r="B3" s="56"/>
      <c r="C3" s="56"/>
      <c r="D3" s="56"/>
      <c r="E3" s="56"/>
      <c r="F3" s="56"/>
      <c r="G3" s="56"/>
      <c r="H3" s="56"/>
    </row>
    <row r="4" spans="1:8">
      <c r="A4" s="24"/>
      <c r="B4" s="24"/>
      <c r="C4" s="24"/>
      <c r="D4" s="24"/>
      <c r="E4" s="24"/>
      <c r="F4" s="24"/>
      <c r="G4" s="24"/>
      <c r="H4" s="24"/>
    </row>
    <row r="5" spans="1:8" ht="13.9">
      <c r="A5" s="25" t="s">
        <v>2</v>
      </c>
      <c r="B5" s="25" t="s">
        <v>3</v>
      </c>
      <c r="C5" s="24"/>
      <c r="D5" s="57" t="s">
        <v>4</v>
      </c>
      <c r="E5" s="57"/>
      <c r="F5" s="57"/>
      <c r="G5" s="57"/>
      <c r="H5" s="57"/>
    </row>
    <row r="6" spans="1:8" ht="27">
      <c r="A6" s="26" t="s">
        <v>5</v>
      </c>
      <c r="B6" s="27">
        <f>COUNTA('02_统一变量字典'!$A$5:$A$200)</f>
        <v>64</v>
      </c>
      <c r="C6" s="24"/>
      <c r="D6" s="1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ht="27">
      <c r="A7" s="26" t="s">
        <v>6</v>
      </c>
      <c r="B7" s="27">
        <f>COUNTIF('02_统一变量字典'!$L$5:$L$200,"公开可获取")</f>
        <v>9</v>
      </c>
      <c r="C7" s="24"/>
      <c r="D7" s="3" t="s">
        <v>11</v>
      </c>
      <c r="E7" s="4" t="s">
        <v>12</v>
      </c>
      <c r="F7" s="4" t="s">
        <v>13</v>
      </c>
      <c r="G7" s="4" t="s">
        <v>14</v>
      </c>
      <c r="H7" s="4" t="s">
        <v>15</v>
      </c>
    </row>
    <row r="8" spans="1:8" ht="27">
      <c r="A8" s="26" t="s">
        <v>16</v>
      </c>
      <c r="B8" s="27">
        <f>COUNTIF('02_统一变量字典'!$L$5:$L$200,"必须企业交流")</f>
        <v>33</v>
      </c>
      <c r="C8" s="24"/>
      <c r="D8" s="5" t="s">
        <v>16</v>
      </c>
      <c r="E8" s="6" t="s">
        <v>17</v>
      </c>
      <c r="F8" s="6" t="s">
        <v>18</v>
      </c>
      <c r="G8" s="6" t="s">
        <v>19</v>
      </c>
      <c r="H8" s="6" t="s">
        <v>20</v>
      </c>
    </row>
    <row r="9" spans="1:8" ht="27">
      <c r="A9" s="26" t="s">
        <v>11</v>
      </c>
      <c r="B9" s="27">
        <f>COUNTIF('02_统一变量字典'!$L$5:$L$200,"公开基线+企业校准")</f>
        <v>21</v>
      </c>
      <c r="C9" s="24"/>
      <c r="D9" s="7" t="s">
        <v>21</v>
      </c>
      <c r="E9" s="8" t="s">
        <v>22</v>
      </c>
      <c r="F9" s="8" t="s">
        <v>23</v>
      </c>
      <c r="G9" s="8" t="s">
        <v>24</v>
      </c>
      <c r="H9" s="8" t="s">
        <v>25</v>
      </c>
    </row>
    <row r="10" spans="1:8" ht="13.9">
      <c r="A10" s="26" t="s">
        <v>26</v>
      </c>
      <c r="B10" s="27">
        <f>COUNTA('05_公式参数设备整理'!$A$5:$A$200)</f>
        <v>25</v>
      </c>
      <c r="C10" s="24"/>
      <c r="D10" s="24"/>
      <c r="E10" s="24"/>
      <c r="F10" s="24"/>
      <c r="G10" s="24"/>
      <c r="H10" s="24"/>
    </row>
    <row r="11" spans="1:8">
      <c r="A11" s="24"/>
      <c r="B11" s="24"/>
      <c r="C11" s="24"/>
      <c r="D11" s="24"/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 ht="13.9">
      <c r="A13" s="58" t="s">
        <v>27</v>
      </c>
      <c r="B13" s="58"/>
      <c r="C13" s="58"/>
      <c r="D13" s="58"/>
      <c r="E13" s="58"/>
      <c r="F13" s="58"/>
      <c r="G13" s="58"/>
      <c r="H13" s="58"/>
    </row>
    <row r="14" spans="1:8" ht="13.9">
      <c r="A14" s="9" t="s">
        <v>28</v>
      </c>
      <c r="B14" s="12" t="s">
        <v>29</v>
      </c>
      <c r="C14" s="59" t="s">
        <v>30</v>
      </c>
      <c r="D14" s="59"/>
      <c r="E14" s="59"/>
      <c r="F14" s="59"/>
      <c r="G14" s="59"/>
      <c r="H14" s="59"/>
    </row>
    <row r="15" spans="1:8" ht="13.9">
      <c r="A15" s="10" t="s">
        <v>31</v>
      </c>
      <c r="B15" s="13" t="s">
        <v>32</v>
      </c>
      <c r="C15" s="60" t="s">
        <v>33</v>
      </c>
      <c r="D15" s="60"/>
      <c r="E15" s="60"/>
      <c r="F15" s="60"/>
      <c r="G15" s="60"/>
      <c r="H15" s="60"/>
    </row>
    <row r="16" spans="1:8" ht="13.9">
      <c r="A16" s="10" t="s">
        <v>34</v>
      </c>
      <c r="B16" s="13" t="s">
        <v>35</v>
      </c>
      <c r="C16" s="60" t="s">
        <v>36</v>
      </c>
      <c r="D16" s="60"/>
      <c r="E16" s="60"/>
      <c r="F16" s="60"/>
      <c r="G16" s="60"/>
      <c r="H16" s="60"/>
    </row>
    <row r="17" spans="1:8" ht="13.9">
      <c r="A17" s="10" t="s">
        <v>37</v>
      </c>
      <c r="B17" s="13" t="s">
        <v>38</v>
      </c>
      <c r="C17" s="60" t="s">
        <v>39</v>
      </c>
      <c r="D17" s="60"/>
      <c r="E17" s="60"/>
      <c r="F17" s="60"/>
      <c r="G17" s="60"/>
      <c r="H17" s="60"/>
    </row>
    <row r="18" spans="1:8" ht="13.9">
      <c r="A18" s="10" t="s">
        <v>40</v>
      </c>
      <c r="B18" s="13" t="s">
        <v>41</v>
      </c>
      <c r="C18" s="60" t="s">
        <v>42</v>
      </c>
      <c r="D18" s="60"/>
      <c r="E18" s="60"/>
      <c r="F18" s="60"/>
      <c r="G18" s="60"/>
      <c r="H18" s="60"/>
    </row>
    <row r="19" spans="1:8" ht="13.9">
      <c r="A19" s="11" t="s">
        <v>43</v>
      </c>
      <c r="B19" s="14" t="s">
        <v>44</v>
      </c>
      <c r="C19" s="61" t="s">
        <v>45</v>
      </c>
      <c r="D19" s="61"/>
      <c r="E19" s="61"/>
      <c r="F19" s="61"/>
      <c r="G19" s="61"/>
      <c r="H19" s="61"/>
    </row>
  </sheetData>
  <mergeCells count="10">
    <mergeCell ref="C15:H15"/>
    <mergeCell ref="C16:H16"/>
    <mergeCell ref="C17:H17"/>
    <mergeCell ref="C18:H18"/>
    <mergeCell ref="C19:H19"/>
    <mergeCell ref="A1:H1"/>
    <mergeCell ref="A3:H3"/>
    <mergeCell ref="D5:H5"/>
    <mergeCell ref="A13:H13"/>
    <mergeCell ref="C14:H14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showGridLines="0" workbookViewId="0">
      <selection sqref="A1:K1"/>
    </sheetView>
  </sheetViews>
  <sheetFormatPr defaultRowHeight="13.5"/>
  <cols>
    <col min="1" max="1" width="10" customWidth="1"/>
    <col min="2" max="2" width="24" customWidth="1"/>
    <col min="3" max="3" width="25" customWidth="1"/>
    <col min="4" max="4" width="15" customWidth="1"/>
    <col min="5" max="5" width="29" customWidth="1"/>
    <col min="6" max="6" width="28" customWidth="1"/>
    <col min="7" max="7" width="34" customWidth="1"/>
    <col min="8" max="8" width="16" customWidth="1"/>
    <col min="9" max="9" width="22" customWidth="1"/>
    <col min="10" max="10" width="14" customWidth="1"/>
    <col min="11" max="11" width="34" customWidth="1"/>
  </cols>
  <sheetData>
    <row r="1" spans="1:11" ht="30" customHeight="1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36" customHeight="1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38" customHeight="1">
      <c r="A4" s="28" t="s">
        <v>48</v>
      </c>
      <c r="B4" s="29" t="s">
        <v>49</v>
      </c>
      <c r="C4" s="29" t="s">
        <v>50</v>
      </c>
      <c r="D4" s="29" t="s">
        <v>51</v>
      </c>
      <c r="E4" s="29" t="s">
        <v>52</v>
      </c>
      <c r="F4" s="29" t="s">
        <v>53</v>
      </c>
      <c r="G4" s="29" t="s">
        <v>54</v>
      </c>
      <c r="H4" s="29" t="s">
        <v>55</v>
      </c>
      <c r="I4" s="29" t="s">
        <v>56</v>
      </c>
      <c r="J4" s="29" t="s">
        <v>57</v>
      </c>
      <c r="K4" s="30" t="s">
        <v>58</v>
      </c>
    </row>
    <row r="5" spans="1:11" ht="25.5">
      <c r="A5" s="15" t="s">
        <v>59</v>
      </c>
      <c r="B5" s="15" t="s">
        <v>60</v>
      </c>
      <c r="C5" s="15" t="s">
        <v>61</v>
      </c>
      <c r="D5" s="15" t="s">
        <v>62</v>
      </c>
      <c r="E5" s="15" t="s">
        <v>63</v>
      </c>
      <c r="F5" s="15" t="s">
        <v>64</v>
      </c>
      <c r="G5" s="15" t="s">
        <v>65</v>
      </c>
      <c r="H5" s="15" t="s">
        <v>66</v>
      </c>
      <c r="I5" s="18" t="s">
        <v>67</v>
      </c>
      <c r="J5" s="15" t="s">
        <v>68</v>
      </c>
      <c r="K5" s="15" t="s">
        <v>69</v>
      </c>
    </row>
    <row r="6" spans="1:11" ht="25.5">
      <c r="A6" s="16" t="s">
        <v>70</v>
      </c>
      <c r="B6" s="16" t="s">
        <v>71</v>
      </c>
      <c r="C6" s="16" t="s">
        <v>72</v>
      </c>
      <c r="D6" s="16" t="s">
        <v>73</v>
      </c>
      <c r="E6" s="16" t="s">
        <v>74</v>
      </c>
      <c r="F6" s="16" t="s">
        <v>75</v>
      </c>
      <c r="G6" s="16" t="s">
        <v>76</v>
      </c>
      <c r="H6" s="16" t="s">
        <v>77</v>
      </c>
      <c r="I6" s="19" t="s">
        <v>11</v>
      </c>
      <c r="J6" s="16" t="s">
        <v>68</v>
      </c>
      <c r="K6" s="16" t="s">
        <v>78</v>
      </c>
    </row>
    <row r="7" spans="1:11" ht="25.5">
      <c r="A7" s="16" t="s">
        <v>79</v>
      </c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85</v>
      </c>
      <c r="H7" s="16" t="s">
        <v>86</v>
      </c>
      <c r="I7" s="19" t="s">
        <v>16</v>
      </c>
      <c r="J7" s="16" t="s">
        <v>68</v>
      </c>
      <c r="K7" s="16" t="s">
        <v>87</v>
      </c>
    </row>
    <row r="8" spans="1:11" ht="25.5">
      <c r="A8" s="16" t="s">
        <v>88</v>
      </c>
      <c r="B8" s="16" t="s">
        <v>89</v>
      </c>
      <c r="C8" s="16" t="s">
        <v>90</v>
      </c>
      <c r="D8" s="16" t="s">
        <v>91</v>
      </c>
      <c r="E8" s="16" t="s">
        <v>92</v>
      </c>
      <c r="F8" s="16" t="s">
        <v>93</v>
      </c>
      <c r="G8" s="16" t="s">
        <v>94</v>
      </c>
      <c r="H8" s="16" t="s">
        <v>95</v>
      </c>
      <c r="I8" s="19" t="s">
        <v>96</v>
      </c>
      <c r="J8" s="16" t="s">
        <v>68</v>
      </c>
      <c r="K8" s="16" t="s">
        <v>97</v>
      </c>
    </row>
    <row r="9" spans="1:11">
      <c r="A9" s="16" t="s">
        <v>98</v>
      </c>
      <c r="B9" s="16" t="s">
        <v>99</v>
      </c>
      <c r="C9" s="16" t="s">
        <v>100</v>
      </c>
      <c r="D9" s="16" t="s">
        <v>101</v>
      </c>
      <c r="E9" s="16" t="s">
        <v>102</v>
      </c>
      <c r="F9" s="16" t="s">
        <v>103</v>
      </c>
      <c r="G9" s="16" t="s">
        <v>104</v>
      </c>
      <c r="H9" s="16" t="s">
        <v>105</v>
      </c>
      <c r="I9" s="19" t="s">
        <v>16</v>
      </c>
      <c r="J9" s="16" t="s">
        <v>68</v>
      </c>
      <c r="K9" s="16" t="s">
        <v>106</v>
      </c>
    </row>
    <row r="10" spans="1:11" ht="25.5">
      <c r="A10" s="16" t="s">
        <v>107</v>
      </c>
      <c r="B10" s="16" t="s">
        <v>108</v>
      </c>
      <c r="C10" s="16" t="s">
        <v>109</v>
      </c>
      <c r="D10" s="16" t="s">
        <v>110</v>
      </c>
      <c r="E10" s="16" t="s">
        <v>111</v>
      </c>
      <c r="F10" s="16" t="s">
        <v>112</v>
      </c>
      <c r="G10" s="16" t="s">
        <v>113</v>
      </c>
      <c r="H10" s="16" t="s">
        <v>114</v>
      </c>
      <c r="I10" s="19" t="s">
        <v>115</v>
      </c>
      <c r="J10" s="16" t="s">
        <v>68</v>
      </c>
      <c r="K10" s="16" t="s">
        <v>116</v>
      </c>
    </row>
    <row r="11" spans="1:11" ht="25.5">
      <c r="A11" s="16" t="s">
        <v>117</v>
      </c>
      <c r="B11" s="16" t="s">
        <v>118</v>
      </c>
      <c r="C11" s="16" t="s">
        <v>119</v>
      </c>
      <c r="D11" s="16" t="s">
        <v>120</v>
      </c>
      <c r="E11" s="16" t="s">
        <v>121</v>
      </c>
      <c r="F11" s="16" t="s">
        <v>122</v>
      </c>
      <c r="G11" s="16" t="s">
        <v>123</v>
      </c>
      <c r="H11" s="16" t="s">
        <v>124</v>
      </c>
      <c r="I11" s="19" t="s">
        <v>125</v>
      </c>
      <c r="J11" s="16" t="s">
        <v>68</v>
      </c>
      <c r="K11" s="16" t="s">
        <v>126</v>
      </c>
    </row>
    <row r="12" spans="1:11" ht="25.5">
      <c r="A12" s="16" t="s">
        <v>127</v>
      </c>
      <c r="B12" s="16" t="s">
        <v>128</v>
      </c>
      <c r="C12" s="16" t="s">
        <v>129</v>
      </c>
      <c r="D12" s="16" t="s">
        <v>130</v>
      </c>
      <c r="E12" s="16" t="s">
        <v>131</v>
      </c>
      <c r="F12" s="16" t="s">
        <v>132</v>
      </c>
      <c r="G12" s="16" t="s">
        <v>133</v>
      </c>
      <c r="H12" s="16" t="s">
        <v>134</v>
      </c>
      <c r="I12" s="19" t="s">
        <v>135</v>
      </c>
      <c r="J12" s="16" t="s">
        <v>68</v>
      </c>
      <c r="K12" s="16" t="s">
        <v>136</v>
      </c>
    </row>
    <row r="13" spans="1:11" ht="25.5">
      <c r="A13" s="17" t="s">
        <v>137</v>
      </c>
      <c r="B13" s="17" t="s">
        <v>138</v>
      </c>
      <c r="C13" s="17" t="s">
        <v>139</v>
      </c>
      <c r="D13" s="17" t="s">
        <v>140</v>
      </c>
      <c r="E13" s="17" t="s">
        <v>141</v>
      </c>
      <c r="F13" s="17" t="s">
        <v>142</v>
      </c>
      <c r="G13" s="17" t="s">
        <v>143</v>
      </c>
      <c r="H13" s="17" t="s">
        <v>114</v>
      </c>
      <c r="I13" s="20" t="s">
        <v>144</v>
      </c>
      <c r="J13" s="17" t="s">
        <v>68</v>
      </c>
      <c r="K13" s="17" t="s">
        <v>145</v>
      </c>
    </row>
  </sheetData>
  <mergeCells count="2">
    <mergeCell ref="A1:K1"/>
    <mergeCell ref="A2:K2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8"/>
  <sheetViews>
    <sheetView showGridLines="0" workbookViewId="0">
      <selection sqref="A1:O1"/>
    </sheetView>
  </sheetViews>
  <sheetFormatPr defaultRowHeight="13.5"/>
  <cols>
    <col min="1" max="1" width="11" customWidth="1"/>
    <col min="2" max="2" width="18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11" customWidth="1"/>
    <col min="9" max="9" width="22" customWidth="1"/>
    <col min="10" max="10" width="20" customWidth="1"/>
    <col min="11" max="11" width="30" customWidth="1"/>
    <col min="12" max="12" width="20" customWidth="1"/>
    <col min="13" max="13" width="32" customWidth="1"/>
    <col min="14" max="14" width="16" customWidth="1"/>
    <col min="15" max="15" width="32" customWidth="1"/>
  </cols>
  <sheetData>
    <row r="1" spans="1:15" ht="30" customHeight="1">
      <c r="A1" s="62" t="s">
        <v>146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36" customHeight="1">
      <c r="A2" s="63" t="s">
        <v>147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38" customHeight="1">
      <c r="A4" s="28" t="s">
        <v>148</v>
      </c>
      <c r="B4" s="29" t="s">
        <v>149</v>
      </c>
      <c r="C4" s="29" t="s">
        <v>150</v>
      </c>
      <c r="D4" s="29" t="s">
        <v>151</v>
      </c>
      <c r="E4" s="29" t="s">
        <v>152</v>
      </c>
      <c r="F4" s="29" t="s">
        <v>153</v>
      </c>
      <c r="G4" s="29" t="s">
        <v>154</v>
      </c>
      <c r="H4" s="29" t="s">
        <v>155</v>
      </c>
      <c r="I4" s="29" t="s">
        <v>156</v>
      </c>
      <c r="J4" s="29" t="s">
        <v>157</v>
      </c>
      <c r="K4" s="29" t="s">
        <v>158</v>
      </c>
      <c r="L4" s="29" t="s">
        <v>159</v>
      </c>
      <c r="M4" s="29" t="s">
        <v>160</v>
      </c>
      <c r="N4" s="29" t="s">
        <v>44</v>
      </c>
      <c r="O4" s="30" t="s">
        <v>161</v>
      </c>
    </row>
    <row r="5" spans="1:15">
      <c r="A5" s="15" t="s">
        <v>162</v>
      </c>
      <c r="B5" s="15" t="s">
        <v>163</v>
      </c>
      <c r="C5" s="15" t="s">
        <v>164</v>
      </c>
      <c r="D5" s="15" t="s">
        <v>165</v>
      </c>
      <c r="E5" s="15" t="s">
        <v>166</v>
      </c>
      <c r="F5" s="15" t="s">
        <v>167</v>
      </c>
      <c r="G5" s="15" t="s">
        <v>168</v>
      </c>
      <c r="H5" s="15" t="s">
        <v>169</v>
      </c>
      <c r="I5" s="15" t="s">
        <v>170</v>
      </c>
      <c r="J5" s="15" t="s">
        <v>171</v>
      </c>
      <c r="K5" s="15" t="s">
        <v>172</v>
      </c>
      <c r="L5" s="18" t="s">
        <v>11</v>
      </c>
      <c r="M5" s="15" t="s">
        <v>173</v>
      </c>
      <c r="N5" s="21" t="s">
        <v>174</v>
      </c>
      <c r="O5" s="15" t="s">
        <v>175</v>
      </c>
    </row>
    <row r="6" spans="1:15">
      <c r="A6" s="16" t="s">
        <v>176</v>
      </c>
      <c r="B6" s="16" t="s">
        <v>163</v>
      </c>
      <c r="C6" s="16" t="s">
        <v>177</v>
      </c>
      <c r="D6" s="16" t="s">
        <v>178</v>
      </c>
      <c r="E6" s="16" t="s">
        <v>179</v>
      </c>
      <c r="F6" s="16" t="s">
        <v>180</v>
      </c>
      <c r="G6" s="16" t="s">
        <v>181</v>
      </c>
      <c r="H6" s="16" t="s">
        <v>178</v>
      </c>
      <c r="I6" s="16" t="s">
        <v>182</v>
      </c>
      <c r="J6" s="16" t="s">
        <v>183</v>
      </c>
      <c r="K6" s="16" t="s">
        <v>144</v>
      </c>
      <c r="L6" s="19" t="s">
        <v>6</v>
      </c>
      <c r="M6" s="16" t="s">
        <v>184</v>
      </c>
      <c r="N6" s="22" t="s">
        <v>174</v>
      </c>
      <c r="O6" s="16" t="s">
        <v>185</v>
      </c>
    </row>
    <row r="7" spans="1:15">
      <c r="A7" s="16" t="s">
        <v>186</v>
      </c>
      <c r="B7" s="16" t="s">
        <v>163</v>
      </c>
      <c r="C7" s="16" t="s">
        <v>187</v>
      </c>
      <c r="D7" s="16" t="s">
        <v>188</v>
      </c>
      <c r="E7" s="16" t="s">
        <v>189</v>
      </c>
      <c r="F7" s="16" t="s">
        <v>180</v>
      </c>
      <c r="G7" s="16" t="s">
        <v>190</v>
      </c>
      <c r="H7" s="16" t="s">
        <v>178</v>
      </c>
      <c r="I7" s="16" t="s">
        <v>191</v>
      </c>
      <c r="J7" s="16" t="s">
        <v>183</v>
      </c>
      <c r="K7" s="16" t="s">
        <v>144</v>
      </c>
      <c r="L7" s="19" t="s">
        <v>6</v>
      </c>
      <c r="M7" s="16" t="s">
        <v>192</v>
      </c>
      <c r="N7" s="22" t="s">
        <v>174</v>
      </c>
      <c r="O7" s="16"/>
    </row>
    <row r="8" spans="1:15">
      <c r="A8" s="16" t="s">
        <v>193</v>
      </c>
      <c r="B8" s="16" t="s">
        <v>163</v>
      </c>
      <c r="C8" s="16" t="s">
        <v>194</v>
      </c>
      <c r="D8" s="16" t="s">
        <v>178</v>
      </c>
      <c r="E8" s="16" t="s">
        <v>195</v>
      </c>
      <c r="F8" s="16" t="s">
        <v>180</v>
      </c>
      <c r="G8" s="16" t="s">
        <v>181</v>
      </c>
      <c r="H8" s="16" t="s">
        <v>178</v>
      </c>
      <c r="I8" s="16" t="s">
        <v>196</v>
      </c>
      <c r="J8" s="16" t="s">
        <v>88</v>
      </c>
      <c r="K8" s="16" t="s">
        <v>197</v>
      </c>
      <c r="L8" s="19" t="s">
        <v>16</v>
      </c>
      <c r="M8" s="16" t="s">
        <v>198</v>
      </c>
      <c r="N8" s="22" t="s">
        <v>174</v>
      </c>
      <c r="O8" s="16" t="s">
        <v>199</v>
      </c>
    </row>
    <row r="9" spans="1:15">
      <c r="A9" s="16" t="s">
        <v>200</v>
      </c>
      <c r="B9" s="16" t="s">
        <v>163</v>
      </c>
      <c r="C9" s="16" t="s">
        <v>201</v>
      </c>
      <c r="D9" s="16" t="s">
        <v>178</v>
      </c>
      <c r="E9" s="16" t="s">
        <v>202</v>
      </c>
      <c r="F9" s="16" t="s">
        <v>180</v>
      </c>
      <c r="G9" s="16" t="s">
        <v>181</v>
      </c>
      <c r="H9" s="16" t="s">
        <v>178</v>
      </c>
      <c r="I9" s="16" t="s">
        <v>203</v>
      </c>
      <c r="J9" s="16" t="s">
        <v>183</v>
      </c>
      <c r="K9" s="16" t="s">
        <v>204</v>
      </c>
      <c r="L9" s="19" t="s">
        <v>6</v>
      </c>
      <c r="M9" s="16" t="s">
        <v>205</v>
      </c>
      <c r="N9" s="22" t="s">
        <v>174</v>
      </c>
      <c r="O9" s="16" t="s">
        <v>206</v>
      </c>
    </row>
    <row r="10" spans="1:15" ht="25.5">
      <c r="A10" s="16" t="s">
        <v>207</v>
      </c>
      <c r="B10" s="16" t="s">
        <v>163</v>
      </c>
      <c r="C10" s="16" t="s">
        <v>208</v>
      </c>
      <c r="D10" s="16" t="s">
        <v>209</v>
      </c>
      <c r="E10" s="16" t="s">
        <v>210</v>
      </c>
      <c r="F10" s="16" t="s">
        <v>211</v>
      </c>
      <c r="G10" s="16" t="s">
        <v>212</v>
      </c>
      <c r="H10" s="16" t="s">
        <v>178</v>
      </c>
      <c r="I10" s="16" t="s">
        <v>213</v>
      </c>
      <c r="J10" s="16" t="s">
        <v>214</v>
      </c>
      <c r="K10" s="16" t="s">
        <v>215</v>
      </c>
      <c r="L10" s="19" t="s">
        <v>11</v>
      </c>
      <c r="M10" s="16" t="s">
        <v>216</v>
      </c>
      <c r="N10" s="22" t="s">
        <v>217</v>
      </c>
      <c r="O10" s="16" t="s">
        <v>218</v>
      </c>
    </row>
    <row r="11" spans="1:15">
      <c r="A11" s="16" t="s">
        <v>219</v>
      </c>
      <c r="B11" s="16" t="s">
        <v>163</v>
      </c>
      <c r="C11" s="16" t="s">
        <v>220</v>
      </c>
      <c r="D11" s="16" t="s">
        <v>221</v>
      </c>
      <c r="E11" s="16" t="s">
        <v>222</v>
      </c>
      <c r="F11" s="16" t="s">
        <v>223</v>
      </c>
      <c r="G11" s="16" t="s">
        <v>224</v>
      </c>
      <c r="H11" s="16" t="s">
        <v>178</v>
      </c>
      <c r="I11" s="16" t="s">
        <v>225</v>
      </c>
      <c r="J11" s="16" t="s">
        <v>226</v>
      </c>
      <c r="K11" s="16" t="s">
        <v>227</v>
      </c>
      <c r="L11" s="19" t="s">
        <v>16</v>
      </c>
      <c r="M11" s="16" t="s">
        <v>228</v>
      </c>
      <c r="N11" s="22" t="s">
        <v>174</v>
      </c>
      <c r="O11" s="16" t="s">
        <v>229</v>
      </c>
    </row>
    <row r="12" spans="1:15">
      <c r="A12" s="16" t="s">
        <v>230</v>
      </c>
      <c r="B12" s="16" t="s">
        <v>163</v>
      </c>
      <c r="C12" s="16" t="s">
        <v>231</v>
      </c>
      <c r="D12" s="16" t="s">
        <v>232</v>
      </c>
      <c r="E12" s="16" t="s">
        <v>233</v>
      </c>
      <c r="F12" s="16" t="s">
        <v>223</v>
      </c>
      <c r="G12" s="16" t="s">
        <v>234</v>
      </c>
      <c r="H12" s="16" t="s">
        <v>178</v>
      </c>
      <c r="I12" s="16" t="s">
        <v>235</v>
      </c>
      <c r="J12" s="16" t="s">
        <v>226</v>
      </c>
      <c r="K12" s="16" t="s">
        <v>236</v>
      </c>
      <c r="L12" s="19" t="s">
        <v>11</v>
      </c>
      <c r="M12" s="16" t="s">
        <v>237</v>
      </c>
      <c r="N12" s="22" t="s">
        <v>174</v>
      </c>
      <c r="O12" s="16"/>
    </row>
    <row r="13" spans="1:15">
      <c r="A13" s="16" t="s">
        <v>238</v>
      </c>
      <c r="B13" s="16" t="s">
        <v>163</v>
      </c>
      <c r="C13" s="16" t="s">
        <v>239</v>
      </c>
      <c r="D13" s="16" t="s">
        <v>240</v>
      </c>
      <c r="E13" s="16" t="s">
        <v>241</v>
      </c>
      <c r="F13" s="16" t="s">
        <v>242</v>
      </c>
      <c r="G13" s="16" t="s">
        <v>234</v>
      </c>
      <c r="H13" s="16" t="s">
        <v>178</v>
      </c>
      <c r="I13" s="16" t="s">
        <v>235</v>
      </c>
      <c r="J13" s="16" t="s">
        <v>226</v>
      </c>
      <c r="K13" s="16" t="s">
        <v>243</v>
      </c>
      <c r="L13" s="19" t="s">
        <v>16</v>
      </c>
      <c r="M13" s="16" t="s">
        <v>244</v>
      </c>
      <c r="N13" s="22" t="s">
        <v>174</v>
      </c>
      <c r="O13" s="16" t="s">
        <v>245</v>
      </c>
    </row>
    <row r="14" spans="1:15" ht="25.5">
      <c r="A14" s="16" t="s">
        <v>246</v>
      </c>
      <c r="B14" s="16" t="s">
        <v>163</v>
      </c>
      <c r="C14" s="16" t="s">
        <v>247</v>
      </c>
      <c r="D14" s="16" t="s">
        <v>248</v>
      </c>
      <c r="E14" s="16" t="s">
        <v>249</v>
      </c>
      <c r="F14" s="16" t="s">
        <v>250</v>
      </c>
      <c r="G14" s="16" t="s">
        <v>212</v>
      </c>
      <c r="H14" s="16" t="s">
        <v>178</v>
      </c>
      <c r="I14" s="16" t="s">
        <v>251</v>
      </c>
      <c r="J14" s="16" t="s">
        <v>252</v>
      </c>
      <c r="K14" s="16" t="s">
        <v>253</v>
      </c>
      <c r="L14" s="19" t="s">
        <v>16</v>
      </c>
      <c r="M14" s="16" t="s">
        <v>254</v>
      </c>
      <c r="N14" s="22" t="s">
        <v>255</v>
      </c>
      <c r="O14" s="16" t="s">
        <v>256</v>
      </c>
    </row>
    <row r="15" spans="1:15" ht="25.5">
      <c r="A15" s="16" t="s">
        <v>257</v>
      </c>
      <c r="B15" s="16" t="s">
        <v>163</v>
      </c>
      <c r="C15" s="16" t="s">
        <v>258</v>
      </c>
      <c r="D15" s="16" t="s">
        <v>259</v>
      </c>
      <c r="E15" s="16" t="s">
        <v>260</v>
      </c>
      <c r="F15" s="16" t="s">
        <v>261</v>
      </c>
      <c r="G15" s="16" t="s">
        <v>212</v>
      </c>
      <c r="H15" s="16" t="s">
        <v>178</v>
      </c>
      <c r="I15" s="16" t="s">
        <v>262</v>
      </c>
      <c r="J15" s="16" t="s">
        <v>88</v>
      </c>
      <c r="K15" s="16" t="s">
        <v>263</v>
      </c>
      <c r="L15" s="19" t="s">
        <v>11</v>
      </c>
      <c r="M15" s="16" t="s">
        <v>264</v>
      </c>
      <c r="N15" s="22" t="s">
        <v>174</v>
      </c>
      <c r="O15" s="16" t="s">
        <v>265</v>
      </c>
    </row>
    <row r="16" spans="1:15">
      <c r="A16" s="16" t="s">
        <v>266</v>
      </c>
      <c r="B16" s="16" t="s">
        <v>267</v>
      </c>
      <c r="C16" s="16" t="s">
        <v>268</v>
      </c>
      <c r="D16" s="16" t="s">
        <v>269</v>
      </c>
      <c r="E16" s="16" t="s">
        <v>270</v>
      </c>
      <c r="F16" s="16" t="s">
        <v>271</v>
      </c>
      <c r="G16" s="16" t="s">
        <v>272</v>
      </c>
      <c r="H16" s="16" t="s">
        <v>273</v>
      </c>
      <c r="I16" s="16" t="s">
        <v>73</v>
      </c>
      <c r="J16" s="16" t="s">
        <v>70</v>
      </c>
      <c r="K16" s="16" t="s">
        <v>274</v>
      </c>
      <c r="L16" s="19" t="s">
        <v>11</v>
      </c>
      <c r="M16" s="16" t="s">
        <v>275</v>
      </c>
      <c r="N16" s="22" t="s">
        <v>174</v>
      </c>
      <c r="O16" s="16" t="s">
        <v>276</v>
      </c>
    </row>
    <row r="17" spans="1:15">
      <c r="A17" s="16" t="s">
        <v>277</v>
      </c>
      <c r="B17" s="16" t="s">
        <v>267</v>
      </c>
      <c r="C17" s="16" t="s">
        <v>81</v>
      </c>
      <c r="D17" s="16" t="s">
        <v>278</v>
      </c>
      <c r="E17" s="16" t="s">
        <v>122</v>
      </c>
      <c r="F17" s="16" t="s">
        <v>271</v>
      </c>
      <c r="G17" s="16" t="s">
        <v>272</v>
      </c>
      <c r="H17" s="16" t="s">
        <v>273</v>
      </c>
      <c r="I17" s="16" t="s">
        <v>279</v>
      </c>
      <c r="J17" s="16" t="s">
        <v>79</v>
      </c>
      <c r="K17" s="16" t="s">
        <v>280</v>
      </c>
      <c r="L17" s="19" t="s">
        <v>16</v>
      </c>
      <c r="M17" s="16" t="s">
        <v>281</v>
      </c>
      <c r="N17" s="22" t="s">
        <v>174</v>
      </c>
      <c r="O17" s="16" t="s">
        <v>282</v>
      </c>
    </row>
    <row r="18" spans="1:15">
      <c r="A18" s="16" t="s">
        <v>283</v>
      </c>
      <c r="B18" s="16" t="s">
        <v>267</v>
      </c>
      <c r="C18" s="16" t="s">
        <v>284</v>
      </c>
      <c r="D18" s="16" t="s">
        <v>285</v>
      </c>
      <c r="E18" s="16" t="s">
        <v>286</v>
      </c>
      <c r="F18" s="16" t="s">
        <v>287</v>
      </c>
      <c r="G18" s="16" t="s">
        <v>272</v>
      </c>
      <c r="H18" s="16" t="s">
        <v>273</v>
      </c>
      <c r="I18" s="16" t="s">
        <v>279</v>
      </c>
      <c r="J18" s="16" t="s">
        <v>88</v>
      </c>
      <c r="K18" s="16" t="s">
        <v>288</v>
      </c>
      <c r="L18" s="19" t="s">
        <v>11</v>
      </c>
      <c r="M18" s="16" t="s">
        <v>289</v>
      </c>
      <c r="N18" s="22" t="s">
        <v>174</v>
      </c>
      <c r="O18" s="16" t="s">
        <v>290</v>
      </c>
    </row>
    <row r="19" spans="1:15">
      <c r="A19" s="16" t="s">
        <v>291</v>
      </c>
      <c r="B19" s="16" t="s">
        <v>267</v>
      </c>
      <c r="C19" s="16" t="s">
        <v>292</v>
      </c>
      <c r="D19" s="16" t="s">
        <v>293</v>
      </c>
      <c r="E19" s="16" t="s">
        <v>294</v>
      </c>
      <c r="F19" s="16" t="s">
        <v>295</v>
      </c>
      <c r="G19" s="16" t="s">
        <v>272</v>
      </c>
      <c r="H19" s="16" t="s">
        <v>273</v>
      </c>
      <c r="I19" s="16" t="s">
        <v>279</v>
      </c>
      <c r="J19" s="16" t="s">
        <v>88</v>
      </c>
      <c r="K19" s="16" t="s">
        <v>296</v>
      </c>
      <c r="L19" s="19" t="s">
        <v>16</v>
      </c>
      <c r="M19" s="16" t="s">
        <v>297</v>
      </c>
      <c r="N19" s="22" t="s">
        <v>174</v>
      </c>
      <c r="O19" s="16" t="s">
        <v>298</v>
      </c>
    </row>
    <row r="20" spans="1:15">
      <c r="A20" s="16" t="s">
        <v>299</v>
      </c>
      <c r="B20" s="16" t="s">
        <v>267</v>
      </c>
      <c r="C20" s="16" t="s">
        <v>300</v>
      </c>
      <c r="D20" s="16" t="s">
        <v>301</v>
      </c>
      <c r="E20" s="16" t="s">
        <v>302</v>
      </c>
      <c r="F20" s="16" t="s">
        <v>303</v>
      </c>
      <c r="G20" s="16" t="s">
        <v>272</v>
      </c>
      <c r="H20" s="16" t="s">
        <v>273</v>
      </c>
      <c r="I20" s="16" t="s">
        <v>304</v>
      </c>
      <c r="J20" s="16" t="s">
        <v>88</v>
      </c>
      <c r="K20" s="16" t="s">
        <v>305</v>
      </c>
      <c r="L20" s="19" t="s">
        <v>16</v>
      </c>
      <c r="M20" s="16" t="s">
        <v>306</v>
      </c>
      <c r="N20" s="22" t="s">
        <v>174</v>
      </c>
      <c r="O20" s="16" t="s">
        <v>307</v>
      </c>
    </row>
    <row r="21" spans="1:15">
      <c r="A21" s="16" t="s">
        <v>308</v>
      </c>
      <c r="B21" s="16" t="s">
        <v>267</v>
      </c>
      <c r="C21" s="16" t="s">
        <v>309</v>
      </c>
      <c r="D21" s="16" t="s">
        <v>310</v>
      </c>
      <c r="E21" s="16" t="s">
        <v>311</v>
      </c>
      <c r="F21" s="16" t="s">
        <v>312</v>
      </c>
      <c r="G21" s="16" t="s">
        <v>272</v>
      </c>
      <c r="H21" s="16" t="s">
        <v>273</v>
      </c>
      <c r="I21" s="16" t="s">
        <v>279</v>
      </c>
      <c r="J21" s="16" t="s">
        <v>88</v>
      </c>
      <c r="K21" s="16" t="s">
        <v>313</v>
      </c>
      <c r="L21" s="19" t="s">
        <v>16</v>
      </c>
      <c r="M21" s="16" t="s">
        <v>314</v>
      </c>
      <c r="N21" s="22" t="s">
        <v>174</v>
      </c>
      <c r="O21" s="16" t="s">
        <v>315</v>
      </c>
    </row>
    <row r="22" spans="1:15">
      <c r="A22" s="16" t="s">
        <v>316</v>
      </c>
      <c r="B22" s="16" t="s">
        <v>267</v>
      </c>
      <c r="C22" s="16" t="s">
        <v>100</v>
      </c>
      <c r="D22" s="16" t="s">
        <v>317</v>
      </c>
      <c r="E22" s="16" t="s">
        <v>99</v>
      </c>
      <c r="F22" s="16" t="s">
        <v>318</v>
      </c>
      <c r="G22" s="16" t="s">
        <v>272</v>
      </c>
      <c r="H22" s="16" t="s">
        <v>273</v>
      </c>
      <c r="I22" s="16" t="s">
        <v>319</v>
      </c>
      <c r="J22" s="16" t="s">
        <v>98</v>
      </c>
      <c r="K22" s="16" t="s">
        <v>320</v>
      </c>
      <c r="L22" s="19" t="s">
        <v>16</v>
      </c>
      <c r="M22" s="16" t="s">
        <v>321</v>
      </c>
      <c r="N22" s="22" t="s">
        <v>174</v>
      </c>
      <c r="O22" s="16" t="s">
        <v>322</v>
      </c>
    </row>
    <row r="23" spans="1:15">
      <c r="A23" s="16" t="s">
        <v>323</v>
      </c>
      <c r="B23" s="16" t="s">
        <v>267</v>
      </c>
      <c r="C23" s="16" t="s">
        <v>324</v>
      </c>
      <c r="D23" s="16" t="s">
        <v>325</v>
      </c>
      <c r="E23" s="16" t="s">
        <v>326</v>
      </c>
      <c r="F23" s="16" t="s">
        <v>327</v>
      </c>
      <c r="G23" s="16" t="s">
        <v>272</v>
      </c>
      <c r="H23" s="16" t="s">
        <v>273</v>
      </c>
      <c r="I23" s="16" t="s">
        <v>279</v>
      </c>
      <c r="J23" s="16" t="s">
        <v>88</v>
      </c>
      <c r="K23" s="16" t="s">
        <v>328</v>
      </c>
      <c r="L23" s="19" t="s">
        <v>11</v>
      </c>
      <c r="M23" s="16" t="s">
        <v>329</v>
      </c>
      <c r="N23" s="22" t="s">
        <v>174</v>
      </c>
      <c r="O23" s="16" t="s">
        <v>330</v>
      </c>
    </row>
    <row r="24" spans="1:15">
      <c r="A24" s="16" t="s">
        <v>331</v>
      </c>
      <c r="B24" s="16" t="s">
        <v>267</v>
      </c>
      <c r="C24" s="16" t="s">
        <v>332</v>
      </c>
      <c r="D24" s="16" t="s">
        <v>333</v>
      </c>
      <c r="E24" s="16" t="s">
        <v>334</v>
      </c>
      <c r="F24" s="16" t="s">
        <v>335</v>
      </c>
      <c r="G24" s="16" t="s">
        <v>336</v>
      </c>
      <c r="H24" s="16" t="s">
        <v>273</v>
      </c>
      <c r="I24" s="16" t="s">
        <v>279</v>
      </c>
      <c r="J24" s="16" t="s">
        <v>88</v>
      </c>
      <c r="K24" s="16" t="s">
        <v>337</v>
      </c>
      <c r="L24" s="19" t="s">
        <v>11</v>
      </c>
      <c r="M24" s="16" t="s">
        <v>338</v>
      </c>
      <c r="N24" s="22" t="s">
        <v>174</v>
      </c>
      <c r="O24" s="16" t="s">
        <v>339</v>
      </c>
    </row>
    <row r="25" spans="1:15">
      <c r="A25" s="16" t="s">
        <v>340</v>
      </c>
      <c r="B25" s="16" t="s">
        <v>267</v>
      </c>
      <c r="C25" s="16" t="s">
        <v>341</v>
      </c>
      <c r="D25" s="16" t="s">
        <v>342</v>
      </c>
      <c r="E25" s="16" t="s">
        <v>343</v>
      </c>
      <c r="F25" s="16" t="s">
        <v>344</v>
      </c>
      <c r="G25" s="16" t="s">
        <v>345</v>
      </c>
      <c r="H25" s="16" t="s">
        <v>178</v>
      </c>
      <c r="I25" s="16" t="s">
        <v>346</v>
      </c>
      <c r="J25" s="16" t="s">
        <v>347</v>
      </c>
      <c r="K25" s="16" t="s">
        <v>348</v>
      </c>
      <c r="L25" s="19" t="s">
        <v>11</v>
      </c>
      <c r="M25" s="16" t="s">
        <v>349</v>
      </c>
      <c r="N25" s="22" t="s">
        <v>350</v>
      </c>
      <c r="O25" s="16"/>
    </row>
    <row r="26" spans="1:15">
      <c r="A26" s="16" t="s">
        <v>351</v>
      </c>
      <c r="B26" s="16" t="s">
        <v>267</v>
      </c>
      <c r="C26" s="16" t="s">
        <v>352</v>
      </c>
      <c r="D26" s="16" t="s">
        <v>353</v>
      </c>
      <c r="E26" s="16" t="s">
        <v>354</v>
      </c>
      <c r="F26" s="16" t="s">
        <v>287</v>
      </c>
      <c r="G26" s="16" t="s">
        <v>272</v>
      </c>
      <c r="H26" s="16" t="s">
        <v>355</v>
      </c>
      <c r="I26" s="16" t="s">
        <v>356</v>
      </c>
      <c r="J26" s="16" t="s">
        <v>88</v>
      </c>
      <c r="K26" s="16" t="s">
        <v>357</v>
      </c>
      <c r="L26" s="19" t="s">
        <v>16</v>
      </c>
      <c r="M26" s="16" t="s">
        <v>358</v>
      </c>
      <c r="N26" s="22" t="s">
        <v>174</v>
      </c>
      <c r="O26" s="16" t="s">
        <v>359</v>
      </c>
    </row>
    <row r="27" spans="1:15">
      <c r="A27" s="16" t="s">
        <v>360</v>
      </c>
      <c r="B27" s="16" t="s">
        <v>267</v>
      </c>
      <c r="C27" s="16" t="s">
        <v>361</v>
      </c>
      <c r="D27" s="16" t="s">
        <v>362</v>
      </c>
      <c r="E27" s="16" t="s">
        <v>363</v>
      </c>
      <c r="F27" s="16" t="s">
        <v>287</v>
      </c>
      <c r="G27" s="16" t="s">
        <v>272</v>
      </c>
      <c r="H27" s="16" t="s">
        <v>355</v>
      </c>
      <c r="I27" s="16" t="s">
        <v>364</v>
      </c>
      <c r="J27" s="16" t="s">
        <v>88</v>
      </c>
      <c r="K27" s="16" t="s">
        <v>357</v>
      </c>
      <c r="L27" s="19" t="s">
        <v>16</v>
      </c>
      <c r="M27" s="16" t="s">
        <v>358</v>
      </c>
      <c r="N27" s="22" t="s">
        <v>174</v>
      </c>
      <c r="O27" s="16" t="s">
        <v>365</v>
      </c>
    </row>
    <row r="28" spans="1:15">
      <c r="A28" s="16" t="s">
        <v>366</v>
      </c>
      <c r="B28" s="16" t="s">
        <v>267</v>
      </c>
      <c r="C28" s="16" t="s">
        <v>367</v>
      </c>
      <c r="D28" s="16" t="s">
        <v>368</v>
      </c>
      <c r="E28" s="16" t="s">
        <v>369</v>
      </c>
      <c r="F28" s="16" t="s">
        <v>370</v>
      </c>
      <c r="G28" s="16" t="s">
        <v>272</v>
      </c>
      <c r="H28" s="16" t="s">
        <v>273</v>
      </c>
      <c r="I28" s="16" t="s">
        <v>279</v>
      </c>
      <c r="J28" s="16" t="s">
        <v>88</v>
      </c>
      <c r="K28" s="16" t="s">
        <v>371</v>
      </c>
      <c r="L28" s="19" t="s">
        <v>16</v>
      </c>
      <c r="M28" s="16" t="s">
        <v>372</v>
      </c>
      <c r="N28" s="22" t="s">
        <v>174</v>
      </c>
      <c r="O28" s="16"/>
    </row>
    <row r="29" spans="1:15">
      <c r="A29" s="16" t="s">
        <v>373</v>
      </c>
      <c r="B29" s="16" t="s">
        <v>267</v>
      </c>
      <c r="C29" s="16" t="s">
        <v>374</v>
      </c>
      <c r="D29" s="16" t="s">
        <v>375</v>
      </c>
      <c r="E29" s="16" t="s">
        <v>376</v>
      </c>
      <c r="F29" s="16" t="s">
        <v>370</v>
      </c>
      <c r="G29" s="16" t="s">
        <v>272</v>
      </c>
      <c r="H29" s="16" t="s">
        <v>273</v>
      </c>
      <c r="I29" s="16" t="s">
        <v>279</v>
      </c>
      <c r="J29" s="16" t="s">
        <v>88</v>
      </c>
      <c r="K29" s="16" t="s">
        <v>371</v>
      </c>
      <c r="L29" s="19" t="s">
        <v>16</v>
      </c>
      <c r="M29" s="16" t="s">
        <v>377</v>
      </c>
      <c r="N29" s="22" t="s">
        <v>174</v>
      </c>
      <c r="O29" s="16" t="s">
        <v>378</v>
      </c>
    </row>
    <row r="30" spans="1:15">
      <c r="A30" s="16" t="s">
        <v>379</v>
      </c>
      <c r="B30" s="16" t="s">
        <v>380</v>
      </c>
      <c r="C30" s="16" t="s">
        <v>381</v>
      </c>
      <c r="D30" s="16" t="s">
        <v>382</v>
      </c>
      <c r="E30" s="16" t="s">
        <v>383</v>
      </c>
      <c r="F30" s="16" t="s">
        <v>384</v>
      </c>
      <c r="G30" s="16" t="s">
        <v>385</v>
      </c>
      <c r="H30" s="16" t="s">
        <v>386</v>
      </c>
      <c r="I30" s="16" t="s">
        <v>387</v>
      </c>
      <c r="J30" s="16" t="s">
        <v>59</v>
      </c>
      <c r="K30" s="16" t="s">
        <v>388</v>
      </c>
      <c r="L30" s="19" t="s">
        <v>11</v>
      </c>
      <c r="M30" s="16" t="s">
        <v>389</v>
      </c>
      <c r="N30" s="22" t="s">
        <v>174</v>
      </c>
      <c r="O30" s="16" t="s">
        <v>390</v>
      </c>
    </row>
    <row r="31" spans="1:15">
      <c r="A31" s="16" t="s">
        <v>391</v>
      </c>
      <c r="B31" s="16" t="s">
        <v>380</v>
      </c>
      <c r="C31" s="16" t="s">
        <v>392</v>
      </c>
      <c r="D31" s="16" t="s">
        <v>393</v>
      </c>
      <c r="E31" s="16" t="s">
        <v>394</v>
      </c>
      <c r="F31" s="16" t="s">
        <v>384</v>
      </c>
      <c r="G31" s="16" t="s">
        <v>385</v>
      </c>
      <c r="H31" s="16" t="s">
        <v>395</v>
      </c>
      <c r="I31" s="16" t="s">
        <v>396</v>
      </c>
      <c r="J31" s="16" t="s">
        <v>59</v>
      </c>
      <c r="K31" s="16" t="s">
        <v>397</v>
      </c>
      <c r="L31" s="19" t="s">
        <v>11</v>
      </c>
      <c r="M31" s="16" t="s">
        <v>398</v>
      </c>
      <c r="N31" s="22" t="s">
        <v>350</v>
      </c>
      <c r="O31" s="16"/>
    </row>
    <row r="32" spans="1:15">
      <c r="A32" s="16" t="s">
        <v>399</v>
      </c>
      <c r="B32" s="16" t="s">
        <v>380</v>
      </c>
      <c r="C32" s="16" t="s">
        <v>400</v>
      </c>
      <c r="D32" s="16" t="s">
        <v>401</v>
      </c>
      <c r="E32" s="16" t="s">
        <v>402</v>
      </c>
      <c r="F32" s="16" t="s">
        <v>384</v>
      </c>
      <c r="G32" s="16" t="s">
        <v>385</v>
      </c>
      <c r="H32" s="16" t="s">
        <v>386</v>
      </c>
      <c r="I32" s="16" t="s">
        <v>403</v>
      </c>
      <c r="J32" s="16" t="s">
        <v>404</v>
      </c>
      <c r="K32" s="16" t="s">
        <v>405</v>
      </c>
      <c r="L32" s="19" t="s">
        <v>16</v>
      </c>
      <c r="M32" s="16" t="s">
        <v>406</v>
      </c>
      <c r="N32" s="22" t="s">
        <v>174</v>
      </c>
      <c r="O32" s="16"/>
    </row>
    <row r="33" spans="1:15">
      <c r="A33" s="16" t="s">
        <v>407</v>
      </c>
      <c r="B33" s="16" t="s">
        <v>380</v>
      </c>
      <c r="C33" s="16" t="s">
        <v>408</v>
      </c>
      <c r="D33" s="16" t="s">
        <v>409</v>
      </c>
      <c r="E33" s="16" t="s">
        <v>410</v>
      </c>
      <c r="F33" s="16" t="s">
        <v>384</v>
      </c>
      <c r="G33" s="16" t="s">
        <v>385</v>
      </c>
      <c r="H33" s="16" t="s">
        <v>411</v>
      </c>
      <c r="I33" s="16" t="s">
        <v>403</v>
      </c>
      <c r="J33" s="16" t="s">
        <v>404</v>
      </c>
      <c r="K33" s="16" t="s">
        <v>405</v>
      </c>
      <c r="L33" s="19" t="s">
        <v>16</v>
      </c>
      <c r="M33" s="16" t="s">
        <v>412</v>
      </c>
      <c r="N33" s="22" t="s">
        <v>174</v>
      </c>
      <c r="O33" s="16"/>
    </row>
    <row r="34" spans="1:15">
      <c r="A34" s="16" t="s">
        <v>413</v>
      </c>
      <c r="B34" s="16" t="s">
        <v>380</v>
      </c>
      <c r="C34" s="16" t="s">
        <v>414</v>
      </c>
      <c r="D34" s="16" t="s">
        <v>415</v>
      </c>
      <c r="E34" s="16" t="s">
        <v>416</v>
      </c>
      <c r="F34" s="16" t="s">
        <v>417</v>
      </c>
      <c r="G34" s="16" t="s">
        <v>418</v>
      </c>
      <c r="H34" s="16" t="s">
        <v>386</v>
      </c>
      <c r="I34" s="16" t="s">
        <v>419</v>
      </c>
      <c r="J34" s="16" t="s">
        <v>70</v>
      </c>
      <c r="K34" s="16" t="s">
        <v>420</v>
      </c>
      <c r="L34" s="19" t="s">
        <v>16</v>
      </c>
      <c r="M34" s="16" t="s">
        <v>421</v>
      </c>
      <c r="N34" s="22" t="s">
        <v>174</v>
      </c>
      <c r="O34" s="16" t="s">
        <v>422</v>
      </c>
    </row>
    <row r="35" spans="1:15">
      <c r="A35" s="16" t="s">
        <v>423</v>
      </c>
      <c r="B35" s="16" t="s">
        <v>380</v>
      </c>
      <c r="C35" s="16" t="s">
        <v>424</v>
      </c>
      <c r="D35" s="16" t="s">
        <v>425</v>
      </c>
      <c r="E35" s="16" t="s">
        <v>426</v>
      </c>
      <c r="F35" s="16" t="s">
        <v>417</v>
      </c>
      <c r="G35" s="16" t="s">
        <v>418</v>
      </c>
      <c r="H35" s="16" t="s">
        <v>273</v>
      </c>
      <c r="I35" s="16" t="s">
        <v>279</v>
      </c>
      <c r="J35" s="16" t="s">
        <v>70</v>
      </c>
      <c r="K35" s="16" t="s">
        <v>420</v>
      </c>
      <c r="L35" s="19" t="s">
        <v>16</v>
      </c>
      <c r="M35" s="16" t="s">
        <v>427</v>
      </c>
      <c r="N35" s="22" t="s">
        <v>174</v>
      </c>
      <c r="O35" s="16"/>
    </row>
    <row r="36" spans="1:15">
      <c r="A36" s="16" t="s">
        <v>428</v>
      </c>
      <c r="B36" s="16" t="s">
        <v>380</v>
      </c>
      <c r="C36" s="16" t="s">
        <v>429</v>
      </c>
      <c r="D36" s="16" t="s">
        <v>430</v>
      </c>
      <c r="E36" s="16" t="s">
        <v>431</v>
      </c>
      <c r="F36" s="16" t="s">
        <v>417</v>
      </c>
      <c r="G36" s="16" t="s">
        <v>432</v>
      </c>
      <c r="H36" s="16" t="s">
        <v>273</v>
      </c>
      <c r="I36" s="16" t="s">
        <v>433</v>
      </c>
      <c r="J36" s="16" t="s">
        <v>70</v>
      </c>
      <c r="K36" s="16" t="s">
        <v>434</v>
      </c>
      <c r="L36" s="19" t="s">
        <v>6</v>
      </c>
      <c r="M36" s="16" t="s">
        <v>435</v>
      </c>
      <c r="N36" s="22" t="s">
        <v>174</v>
      </c>
      <c r="O36" s="16"/>
    </row>
    <row r="37" spans="1:15">
      <c r="A37" s="16" t="s">
        <v>436</v>
      </c>
      <c r="B37" s="16" t="s">
        <v>380</v>
      </c>
      <c r="C37" s="16" t="s">
        <v>437</v>
      </c>
      <c r="D37" s="16" t="s">
        <v>438</v>
      </c>
      <c r="E37" s="16" t="s">
        <v>439</v>
      </c>
      <c r="F37" s="16" t="s">
        <v>417</v>
      </c>
      <c r="G37" s="16" t="s">
        <v>440</v>
      </c>
      <c r="H37" s="16" t="s">
        <v>386</v>
      </c>
      <c r="I37" s="16" t="s">
        <v>441</v>
      </c>
      <c r="J37" s="16" t="s">
        <v>442</v>
      </c>
      <c r="K37" s="16" t="s">
        <v>443</v>
      </c>
      <c r="L37" s="19" t="s">
        <v>16</v>
      </c>
      <c r="M37" s="16" t="s">
        <v>444</v>
      </c>
      <c r="N37" s="22" t="s">
        <v>174</v>
      </c>
      <c r="O37" s="16" t="s">
        <v>445</v>
      </c>
    </row>
    <row r="38" spans="1:15">
      <c r="A38" s="16" t="s">
        <v>446</v>
      </c>
      <c r="B38" s="16" t="s">
        <v>380</v>
      </c>
      <c r="C38" s="16" t="s">
        <v>447</v>
      </c>
      <c r="D38" s="16" t="s">
        <v>448</v>
      </c>
      <c r="E38" s="16" t="s">
        <v>449</v>
      </c>
      <c r="F38" s="16" t="s">
        <v>417</v>
      </c>
      <c r="G38" s="16" t="s">
        <v>440</v>
      </c>
      <c r="H38" s="16" t="s">
        <v>450</v>
      </c>
      <c r="I38" s="16" t="s">
        <v>279</v>
      </c>
      <c r="J38" s="16" t="s">
        <v>88</v>
      </c>
      <c r="K38" s="16" t="s">
        <v>451</v>
      </c>
      <c r="L38" s="19" t="s">
        <v>16</v>
      </c>
      <c r="M38" s="16" t="s">
        <v>452</v>
      </c>
      <c r="N38" s="22" t="s">
        <v>174</v>
      </c>
      <c r="O38" s="16"/>
    </row>
    <row r="39" spans="1:15" ht="25.5">
      <c r="A39" s="16" t="s">
        <v>453</v>
      </c>
      <c r="B39" s="16" t="s">
        <v>454</v>
      </c>
      <c r="C39" s="16" t="s">
        <v>455</v>
      </c>
      <c r="D39" s="16" t="s">
        <v>456</v>
      </c>
      <c r="E39" s="16" t="s">
        <v>457</v>
      </c>
      <c r="F39" s="16" t="s">
        <v>384</v>
      </c>
      <c r="G39" s="16" t="s">
        <v>458</v>
      </c>
      <c r="H39" s="16" t="s">
        <v>459</v>
      </c>
      <c r="I39" s="16" t="s">
        <v>279</v>
      </c>
      <c r="J39" s="16" t="s">
        <v>59</v>
      </c>
      <c r="K39" s="16" t="s">
        <v>460</v>
      </c>
      <c r="L39" s="19" t="s">
        <v>11</v>
      </c>
      <c r="M39" s="16" t="s">
        <v>461</v>
      </c>
      <c r="N39" s="22" t="s">
        <v>174</v>
      </c>
      <c r="O39" s="16" t="s">
        <v>462</v>
      </c>
    </row>
    <row r="40" spans="1:15">
      <c r="A40" s="16" t="s">
        <v>463</v>
      </c>
      <c r="B40" s="16" t="s">
        <v>454</v>
      </c>
      <c r="C40" s="16" t="s">
        <v>464</v>
      </c>
      <c r="D40" s="16" t="s">
        <v>465</v>
      </c>
      <c r="E40" s="16" t="s">
        <v>466</v>
      </c>
      <c r="F40" s="16" t="s">
        <v>467</v>
      </c>
      <c r="G40" s="16" t="s">
        <v>468</v>
      </c>
      <c r="H40" s="16" t="s">
        <v>178</v>
      </c>
      <c r="I40" s="16" t="s">
        <v>469</v>
      </c>
      <c r="J40" s="16" t="s">
        <v>59</v>
      </c>
      <c r="K40" s="16" t="s">
        <v>470</v>
      </c>
      <c r="L40" s="19" t="s">
        <v>6</v>
      </c>
      <c r="M40" s="16" t="s">
        <v>471</v>
      </c>
      <c r="N40" s="22" t="s">
        <v>174</v>
      </c>
      <c r="O40" s="16"/>
    </row>
    <row r="41" spans="1:15">
      <c r="A41" s="16" t="s">
        <v>472</v>
      </c>
      <c r="B41" s="16" t="s">
        <v>454</v>
      </c>
      <c r="C41" s="16" t="s">
        <v>473</v>
      </c>
      <c r="D41" s="16" t="s">
        <v>474</v>
      </c>
      <c r="E41" s="16" t="s">
        <v>475</v>
      </c>
      <c r="F41" s="16" t="s">
        <v>384</v>
      </c>
      <c r="G41" s="16" t="s">
        <v>468</v>
      </c>
      <c r="H41" s="16" t="s">
        <v>476</v>
      </c>
      <c r="I41" s="16" t="s">
        <v>477</v>
      </c>
      <c r="J41" s="16" t="s">
        <v>478</v>
      </c>
      <c r="K41" s="16" t="s">
        <v>16</v>
      </c>
      <c r="L41" s="19" t="s">
        <v>479</v>
      </c>
      <c r="M41" s="16" t="s">
        <v>174</v>
      </c>
      <c r="N41" s="22" t="s">
        <v>480</v>
      </c>
      <c r="O41" s="16"/>
    </row>
    <row r="42" spans="1:15">
      <c r="A42" s="16" t="s">
        <v>481</v>
      </c>
      <c r="B42" s="16" t="s">
        <v>454</v>
      </c>
      <c r="C42" s="16" t="s">
        <v>482</v>
      </c>
      <c r="D42" s="16" t="s">
        <v>483</v>
      </c>
      <c r="E42" s="16" t="s">
        <v>484</v>
      </c>
      <c r="F42" s="16" t="s">
        <v>384</v>
      </c>
      <c r="G42" s="16" t="s">
        <v>458</v>
      </c>
      <c r="H42" s="16" t="s">
        <v>485</v>
      </c>
      <c r="I42" s="16" t="s">
        <v>486</v>
      </c>
      <c r="J42" s="16" t="s">
        <v>59</v>
      </c>
      <c r="K42" s="16" t="s">
        <v>460</v>
      </c>
      <c r="L42" s="19" t="s">
        <v>11</v>
      </c>
      <c r="M42" s="16" t="s">
        <v>487</v>
      </c>
      <c r="N42" s="22" t="s">
        <v>174</v>
      </c>
      <c r="O42" s="16"/>
    </row>
    <row r="43" spans="1:15">
      <c r="A43" s="16" t="s">
        <v>488</v>
      </c>
      <c r="B43" s="16" t="s">
        <v>454</v>
      </c>
      <c r="C43" s="16" t="s">
        <v>489</v>
      </c>
      <c r="D43" s="16" t="s">
        <v>490</v>
      </c>
      <c r="E43" s="16" t="s">
        <v>491</v>
      </c>
      <c r="F43" s="16" t="s">
        <v>492</v>
      </c>
      <c r="G43" s="16" t="s">
        <v>385</v>
      </c>
      <c r="H43" s="16" t="s">
        <v>485</v>
      </c>
      <c r="I43" s="16" t="s">
        <v>493</v>
      </c>
      <c r="J43" s="16" t="s">
        <v>494</v>
      </c>
      <c r="K43" s="16" t="s">
        <v>495</v>
      </c>
      <c r="L43" s="19" t="s">
        <v>16</v>
      </c>
      <c r="M43" s="16" t="s">
        <v>496</v>
      </c>
      <c r="N43" s="22" t="s">
        <v>174</v>
      </c>
      <c r="O43" s="16" t="s">
        <v>497</v>
      </c>
    </row>
    <row r="44" spans="1:15">
      <c r="A44" s="16" t="s">
        <v>498</v>
      </c>
      <c r="B44" s="16" t="s">
        <v>454</v>
      </c>
      <c r="C44" s="16" t="s">
        <v>499</v>
      </c>
      <c r="D44" s="16" t="s">
        <v>500</v>
      </c>
      <c r="E44" s="16" t="s">
        <v>501</v>
      </c>
      <c r="F44" s="16" t="s">
        <v>417</v>
      </c>
      <c r="G44" s="16" t="s">
        <v>502</v>
      </c>
      <c r="H44" s="16" t="s">
        <v>503</v>
      </c>
      <c r="I44" s="16" t="s">
        <v>279</v>
      </c>
      <c r="J44" s="16" t="s">
        <v>504</v>
      </c>
      <c r="K44" s="16" t="s">
        <v>505</v>
      </c>
      <c r="L44" s="19" t="s">
        <v>11</v>
      </c>
      <c r="M44" s="16" t="s">
        <v>506</v>
      </c>
      <c r="N44" s="22" t="s">
        <v>507</v>
      </c>
      <c r="O44" s="16" t="s">
        <v>508</v>
      </c>
    </row>
    <row r="45" spans="1:15">
      <c r="A45" s="16" t="s">
        <v>509</v>
      </c>
      <c r="B45" s="16" t="s">
        <v>454</v>
      </c>
      <c r="C45" s="16" t="s">
        <v>510</v>
      </c>
      <c r="D45" s="16" t="s">
        <v>511</v>
      </c>
      <c r="E45" s="16" t="s">
        <v>512</v>
      </c>
      <c r="F45" s="16" t="s">
        <v>417</v>
      </c>
      <c r="G45" s="16" t="s">
        <v>440</v>
      </c>
      <c r="H45" s="16" t="s">
        <v>513</v>
      </c>
      <c r="I45" s="16" t="s">
        <v>514</v>
      </c>
      <c r="J45" s="16" t="s">
        <v>504</v>
      </c>
      <c r="K45" s="16" t="s">
        <v>515</v>
      </c>
      <c r="L45" s="19" t="s">
        <v>6</v>
      </c>
      <c r="M45" s="16" t="s">
        <v>516</v>
      </c>
      <c r="N45" s="22" t="s">
        <v>174</v>
      </c>
      <c r="O45" s="16"/>
    </row>
    <row r="46" spans="1:15">
      <c r="A46" s="16" t="s">
        <v>517</v>
      </c>
      <c r="B46" s="16" t="s">
        <v>454</v>
      </c>
      <c r="C46" s="16" t="s">
        <v>518</v>
      </c>
      <c r="D46" s="16" t="s">
        <v>518</v>
      </c>
      <c r="E46" s="16" t="s">
        <v>519</v>
      </c>
      <c r="F46" s="16" t="s">
        <v>520</v>
      </c>
      <c r="G46" s="16" t="s">
        <v>440</v>
      </c>
      <c r="H46" s="16" t="s">
        <v>521</v>
      </c>
      <c r="I46" s="16" t="s">
        <v>522</v>
      </c>
      <c r="J46" s="16" t="s">
        <v>523</v>
      </c>
      <c r="K46" s="16" t="s">
        <v>524</v>
      </c>
      <c r="L46" s="19" t="s">
        <v>11</v>
      </c>
      <c r="M46" s="16" t="s">
        <v>525</v>
      </c>
      <c r="N46" s="22" t="s">
        <v>174</v>
      </c>
      <c r="O46" s="16" t="s">
        <v>526</v>
      </c>
    </row>
    <row r="47" spans="1:15">
      <c r="A47" s="16" t="s">
        <v>527</v>
      </c>
      <c r="B47" s="16" t="s">
        <v>454</v>
      </c>
      <c r="C47" s="16" t="s">
        <v>528</v>
      </c>
      <c r="D47" s="16" t="s">
        <v>529</v>
      </c>
      <c r="E47" s="16" t="s">
        <v>530</v>
      </c>
      <c r="F47" s="16" t="s">
        <v>531</v>
      </c>
      <c r="G47" s="16" t="s">
        <v>385</v>
      </c>
      <c r="H47" s="16" t="s">
        <v>178</v>
      </c>
      <c r="I47" s="16" t="s">
        <v>235</v>
      </c>
      <c r="J47" s="16" t="s">
        <v>532</v>
      </c>
      <c r="K47" s="16" t="s">
        <v>533</v>
      </c>
      <c r="L47" s="19" t="s">
        <v>16</v>
      </c>
      <c r="M47" s="16" t="s">
        <v>534</v>
      </c>
      <c r="N47" s="22" t="s">
        <v>174</v>
      </c>
      <c r="O47" s="16"/>
    </row>
    <row r="48" spans="1:15">
      <c r="A48" s="16" t="s">
        <v>535</v>
      </c>
      <c r="B48" s="16" t="s">
        <v>454</v>
      </c>
      <c r="C48" s="16" t="s">
        <v>536</v>
      </c>
      <c r="D48" s="16" t="s">
        <v>537</v>
      </c>
      <c r="E48" s="16" t="s">
        <v>538</v>
      </c>
      <c r="F48" s="16" t="s">
        <v>417</v>
      </c>
      <c r="G48" s="16" t="s">
        <v>539</v>
      </c>
      <c r="H48" s="16" t="s">
        <v>178</v>
      </c>
      <c r="I48" s="16" t="s">
        <v>235</v>
      </c>
      <c r="J48" s="16" t="s">
        <v>540</v>
      </c>
      <c r="K48" s="16" t="s">
        <v>541</v>
      </c>
      <c r="L48" s="19" t="s">
        <v>11</v>
      </c>
      <c r="M48" s="16" t="s">
        <v>542</v>
      </c>
      <c r="N48" s="22" t="s">
        <v>174</v>
      </c>
      <c r="O48" s="16"/>
    </row>
    <row r="49" spans="1:15">
      <c r="A49" s="16" t="s">
        <v>543</v>
      </c>
      <c r="B49" s="16" t="s">
        <v>454</v>
      </c>
      <c r="C49" s="16" t="s">
        <v>544</v>
      </c>
      <c r="D49" s="16" t="s">
        <v>545</v>
      </c>
      <c r="E49" s="16" t="s">
        <v>546</v>
      </c>
      <c r="F49" s="16" t="s">
        <v>417</v>
      </c>
      <c r="G49" s="16" t="s">
        <v>440</v>
      </c>
      <c r="H49" s="16" t="s">
        <v>547</v>
      </c>
      <c r="I49" s="16" t="s">
        <v>548</v>
      </c>
      <c r="J49" s="16" t="s">
        <v>442</v>
      </c>
      <c r="K49" s="16" t="s">
        <v>549</v>
      </c>
      <c r="L49" s="19" t="s">
        <v>16</v>
      </c>
      <c r="M49" s="16" t="s">
        <v>550</v>
      </c>
      <c r="N49" s="22" t="s">
        <v>174</v>
      </c>
      <c r="O49" s="16" t="s">
        <v>551</v>
      </c>
    </row>
    <row r="50" spans="1:15">
      <c r="A50" s="16" t="s">
        <v>552</v>
      </c>
      <c r="B50" s="16" t="s">
        <v>553</v>
      </c>
      <c r="C50" s="16" t="s">
        <v>554</v>
      </c>
      <c r="D50" s="16" t="s">
        <v>555</v>
      </c>
      <c r="E50" s="16" t="s">
        <v>556</v>
      </c>
      <c r="F50" s="16" t="s">
        <v>384</v>
      </c>
      <c r="G50" s="16" t="s">
        <v>385</v>
      </c>
      <c r="H50" s="16" t="s">
        <v>386</v>
      </c>
      <c r="I50" s="16" t="s">
        <v>557</v>
      </c>
      <c r="J50" s="16" t="s">
        <v>59</v>
      </c>
      <c r="K50" s="16" t="s">
        <v>558</v>
      </c>
      <c r="L50" s="19" t="s">
        <v>11</v>
      </c>
      <c r="M50" s="16" t="s">
        <v>559</v>
      </c>
      <c r="N50" s="22" t="s">
        <v>174</v>
      </c>
      <c r="O50" s="16" t="s">
        <v>560</v>
      </c>
    </row>
    <row r="51" spans="1:15">
      <c r="A51" s="16" t="s">
        <v>561</v>
      </c>
      <c r="B51" s="16" t="s">
        <v>553</v>
      </c>
      <c r="C51" s="16" t="s">
        <v>562</v>
      </c>
      <c r="D51" s="16" t="s">
        <v>563</v>
      </c>
      <c r="E51" s="16" t="s">
        <v>564</v>
      </c>
      <c r="F51" s="16" t="s">
        <v>384</v>
      </c>
      <c r="G51" s="16" t="s">
        <v>385</v>
      </c>
      <c r="H51" s="16" t="s">
        <v>395</v>
      </c>
      <c r="I51" s="16" t="s">
        <v>565</v>
      </c>
      <c r="J51" s="16" t="s">
        <v>59</v>
      </c>
      <c r="K51" s="16" t="s">
        <v>566</v>
      </c>
      <c r="L51" s="19" t="s">
        <v>11</v>
      </c>
      <c r="M51" s="16" t="s">
        <v>567</v>
      </c>
      <c r="N51" s="22" t="s">
        <v>350</v>
      </c>
      <c r="O51" s="16"/>
    </row>
    <row r="52" spans="1:15">
      <c r="A52" s="16" t="s">
        <v>568</v>
      </c>
      <c r="B52" s="16" t="s">
        <v>553</v>
      </c>
      <c r="C52" s="16" t="s">
        <v>569</v>
      </c>
      <c r="D52" s="16" t="s">
        <v>570</v>
      </c>
      <c r="E52" s="16" t="s">
        <v>571</v>
      </c>
      <c r="F52" s="16" t="s">
        <v>492</v>
      </c>
      <c r="G52" s="16" t="s">
        <v>385</v>
      </c>
      <c r="H52" s="16" t="s">
        <v>178</v>
      </c>
      <c r="I52" s="16" t="s">
        <v>279</v>
      </c>
      <c r="J52" s="16" t="s">
        <v>572</v>
      </c>
      <c r="K52" s="16" t="s">
        <v>573</v>
      </c>
      <c r="L52" s="19" t="s">
        <v>16</v>
      </c>
      <c r="M52" s="16" t="s">
        <v>574</v>
      </c>
      <c r="N52" s="22" t="s">
        <v>350</v>
      </c>
      <c r="O52" s="16" t="s">
        <v>575</v>
      </c>
    </row>
    <row r="53" spans="1:15">
      <c r="A53" s="16" t="s">
        <v>576</v>
      </c>
      <c r="B53" s="16" t="s">
        <v>553</v>
      </c>
      <c r="C53" s="16" t="s">
        <v>577</v>
      </c>
      <c r="D53" s="16" t="s">
        <v>578</v>
      </c>
      <c r="E53" s="16" t="s">
        <v>579</v>
      </c>
      <c r="F53" s="16" t="s">
        <v>417</v>
      </c>
      <c r="G53" s="16" t="s">
        <v>539</v>
      </c>
      <c r="H53" s="16" t="s">
        <v>580</v>
      </c>
      <c r="I53" s="16" t="s">
        <v>279</v>
      </c>
      <c r="J53" s="16" t="s">
        <v>70</v>
      </c>
      <c r="K53" s="16" t="s">
        <v>581</v>
      </c>
      <c r="L53" s="19" t="s">
        <v>16</v>
      </c>
      <c r="M53" s="16" t="s">
        <v>582</v>
      </c>
      <c r="N53" s="22" t="s">
        <v>174</v>
      </c>
      <c r="O53" s="16"/>
    </row>
    <row r="54" spans="1:15">
      <c r="A54" s="16" t="s">
        <v>583</v>
      </c>
      <c r="B54" s="16" t="s">
        <v>553</v>
      </c>
      <c r="C54" s="16" t="s">
        <v>584</v>
      </c>
      <c r="D54" s="16" t="s">
        <v>585</v>
      </c>
      <c r="E54" s="16" t="s">
        <v>586</v>
      </c>
      <c r="F54" s="16" t="s">
        <v>417</v>
      </c>
      <c r="G54" s="16" t="s">
        <v>539</v>
      </c>
      <c r="H54" s="16" t="s">
        <v>580</v>
      </c>
      <c r="I54" s="16" t="s">
        <v>279</v>
      </c>
      <c r="J54" s="16" t="s">
        <v>70</v>
      </c>
      <c r="K54" s="16" t="s">
        <v>581</v>
      </c>
      <c r="L54" s="19" t="s">
        <v>16</v>
      </c>
      <c r="M54" s="16" t="s">
        <v>582</v>
      </c>
      <c r="N54" s="22" t="s">
        <v>174</v>
      </c>
      <c r="O54" s="16" t="s">
        <v>587</v>
      </c>
    </row>
    <row r="55" spans="1:15">
      <c r="A55" s="16" t="s">
        <v>588</v>
      </c>
      <c r="B55" s="16" t="s">
        <v>553</v>
      </c>
      <c r="C55" s="16" t="s">
        <v>589</v>
      </c>
      <c r="D55" s="16" t="s">
        <v>590</v>
      </c>
      <c r="E55" s="16" t="s">
        <v>591</v>
      </c>
      <c r="F55" s="16" t="s">
        <v>417</v>
      </c>
      <c r="G55" s="16" t="s">
        <v>440</v>
      </c>
      <c r="H55" s="16" t="s">
        <v>386</v>
      </c>
      <c r="I55" s="16" t="s">
        <v>279</v>
      </c>
      <c r="J55" s="16" t="s">
        <v>442</v>
      </c>
      <c r="K55" s="16" t="s">
        <v>592</v>
      </c>
      <c r="L55" s="19" t="s">
        <v>16</v>
      </c>
      <c r="M55" s="16" t="s">
        <v>593</v>
      </c>
      <c r="N55" s="22" t="s">
        <v>174</v>
      </c>
      <c r="O55" s="16"/>
    </row>
    <row r="56" spans="1:15">
      <c r="A56" s="16" t="s">
        <v>594</v>
      </c>
      <c r="B56" s="16" t="s">
        <v>553</v>
      </c>
      <c r="C56" s="16" t="s">
        <v>595</v>
      </c>
      <c r="D56" s="16" t="s">
        <v>596</v>
      </c>
      <c r="E56" s="16" t="s">
        <v>597</v>
      </c>
      <c r="F56" s="16" t="s">
        <v>598</v>
      </c>
      <c r="G56" s="16" t="s">
        <v>440</v>
      </c>
      <c r="H56" s="16" t="s">
        <v>599</v>
      </c>
      <c r="I56" s="16" t="s">
        <v>279</v>
      </c>
      <c r="J56" s="16" t="s">
        <v>442</v>
      </c>
      <c r="K56" s="16" t="s">
        <v>592</v>
      </c>
      <c r="L56" s="19" t="s">
        <v>16</v>
      </c>
      <c r="M56" s="16" t="s">
        <v>600</v>
      </c>
      <c r="N56" s="22" t="s">
        <v>174</v>
      </c>
      <c r="O56" s="16"/>
    </row>
    <row r="57" spans="1:15">
      <c r="A57" s="16" t="s">
        <v>601</v>
      </c>
      <c r="B57" s="16" t="s">
        <v>553</v>
      </c>
      <c r="C57" s="16" t="s">
        <v>602</v>
      </c>
      <c r="D57" s="16" t="s">
        <v>603</v>
      </c>
      <c r="E57" s="16" t="s">
        <v>604</v>
      </c>
      <c r="F57" s="16" t="s">
        <v>520</v>
      </c>
      <c r="G57" s="16" t="s">
        <v>385</v>
      </c>
      <c r="H57" s="16" t="s">
        <v>178</v>
      </c>
      <c r="I57" s="16" t="s">
        <v>235</v>
      </c>
      <c r="J57" s="16" t="s">
        <v>605</v>
      </c>
      <c r="K57" s="16" t="s">
        <v>606</v>
      </c>
      <c r="L57" s="19" t="s">
        <v>11</v>
      </c>
      <c r="M57" s="16" t="s">
        <v>607</v>
      </c>
      <c r="N57" s="22" t="s">
        <v>174</v>
      </c>
      <c r="O57" s="16" t="s">
        <v>608</v>
      </c>
    </row>
    <row r="58" spans="1:15">
      <c r="A58" s="16" t="s">
        <v>609</v>
      </c>
      <c r="B58" s="16" t="s">
        <v>553</v>
      </c>
      <c r="C58" s="16" t="s">
        <v>610</v>
      </c>
      <c r="D58" s="16" t="s">
        <v>611</v>
      </c>
      <c r="E58" s="16" t="s">
        <v>612</v>
      </c>
      <c r="F58" s="16" t="s">
        <v>531</v>
      </c>
      <c r="G58" s="16" t="s">
        <v>385</v>
      </c>
      <c r="H58" s="16" t="s">
        <v>178</v>
      </c>
      <c r="I58" s="16" t="s">
        <v>235</v>
      </c>
      <c r="J58" s="16" t="s">
        <v>226</v>
      </c>
      <c r="K58" s="16" t="s">
        <v>613</v>
      </c>
      <c r="L58" s="19" t="s">
        <v>16</v>
      </c>
      <c r="M58" s="16" t="s">
        <v>614</v>
      </c>
      <c r="N58" s="22" t="s">
        <v>174</v>
      </c>
      <c r="O58" s="16"/>
    </row>
    <row r="59" spans="1:15">
      <c r="A59" s="16" t="s">
        <v>615</v>
      </c>
      <c r="B59" s="16" t="s">
        <v>616</v>
      </c>
      <c r="C59" s="16" t="s">
        <v>617</v>
      </c>
      <c r="D59" s="16" t="s">
        <v>618</v>
      </c>
      <c r="E59" s="16" t="s">
        <v>619</v>
      </c>
      <c r="F59" s="16" t="s">
        <v>620</v>
      </c>
      <c r="G59" s="16" t="s">
        <v>621</v>
      </c>
      <c r="H59" s="16" t="s">
        <v>273</v>
      </c>
      <c r="I59" s="16" t="s">
        <v>433</v>
      </c>
      <c r="J59" s="16" t="s">
        <v>622</v>
      </c>
      <c r="K59" s="16" t="s">
        <v>623</v>
      </c>
      <c r="L59" s="19" t="s">
        <v>11</v>
      </c>
      <c r="M59" s="16" t="s">
        <v>624</v>
      </c>
      <c r="N59" s="22" t="s">
        <v>174</v>
      </c>
      <c r="O59" s="16" t="s">
        <v>625</v>
      </c>
    </row>
    <row r="60" spans="1:15">
      <c r="A60" s="16" t="s">
        <v>626</v>
      </c>
      <c r="B60" s="16" t="s">
        <v>616</v>
      </c>
      <c r="C60" s="16" t="s">
        <v>627</v>
      </c>
      <c r="D60" s="16" t="s">
        <v>628</v>
      </c>
      <c r="E60" s="16" t="s">
        <v>629</v>
      </c>
      <c r="F60" s="16" t="s">
        <v>630</v>
      </c>
      <c r="G60" s="16" t="s">
        <v>631</v>
      </c>
      <c r="H60" s="16" t="s">
        <v>599</v>
      </c>
      <c r="I60" s="16" t="s">
        <v>433</v>
      </c>
      <c r="J60" s="16" t="s">
        <v>632</v>
      </c>
      <c r="K60" s="16" t="s">
        <v>633</v>
      </c>
      <c r="L60" s="19" t="s">
        <v>6</v>
      </c>
      <c r="M60" s="16" t="s">
        <v>634</v>
      </c>
      <c r="N60" s="22" t="s">
        <v>635</v>
      </c>
      <c r="O60" s="16" t="s">
        <v>636</v>
      </c>
    </row>
    <row r="61" spans="1:15">
      <c r="A61" s="16" t="s">
        <v>637</v>
      </c>
      <c r="B61" s="16" t="s">
        <v>616</v>
      </c>
      <c r="C61" s="16" t="s">
        <v>638</v>
      </c>
      <c r="D61" s="16" t="s">
        <v>639</v>
      </c>
      <c r="E61" s="16" t="s">
        <v>640</v>
      </c>
      <c r="F61" s="16" t="s">
        <v>630</v>
      </c>
      <c r="G61" s="16" t="s">
        <v>440</v>
      </c>
      <c r="H61" s="16" t="s">
        <v>178</v>
      </c>
      <c r="I61" s="16" t="s">
        <v>235</v>
      </c>
      <c r="J61" s="16" t="s">
        <v>632</v>
      </c>
      <c r="K61" s="16" t="s">
        <v>633</v>
      </c>
      <c r="L61" s="19" t="s">
        <v>6</v>
      </c>
      <c r="M61" s="16" t="s">
        <v>641</v>
      </c>
      <c r="N61" s="22" t="s">
        <v>635</v>
      </c>
      <c r="O61" s="16" t="s">
        <v>642</v>
      </c>
    </row>
    <row r="62" spans="1:15">
      <c r="A62" s="16" t="s">
        <v>643</v>
      </c>
      <c r="B62" s="16" t="s">
        <v>616</v>
      </c>
      <c r="C62" s="16" t="s">
        <v>644</v>
      </c>
      <c r="D62" s="16" t="s">
        <v>645</v>
      </c>
      <c r="E62" s="16" t="s">
        <v>646</v>
      </c>
      <c r="F62" s="16" t="s">
        <v>647</v>
      </c>
      <c r="G62" s="16" t="s">
        <v>648</v>
      </c>
      <c r="H62" s="16" t="s">
        <v>273</v>
      </c>
      <c r="I62" s="16" t="s">
        <v>279</v>
      </c>
      <c r="J62" s="16" t="s">
        <v>88</v>
      </c>
      <c r="K62" s="16" t="s">
        <v>649</v>
      </c>
      <c r="L62" s="19" t="s">
        <v>6</v>
      </c>
      <c r="M62" s="16" t="s">
        <v>178</v>
      </c>
      <c r="N62" s="22" t="s">
        <v>650</v>
      </c>
      <c r="O62" s="16" t="s">
        <v>651</v>
      </c>
    </row>
    <row r="63" spans="1:15">
      <c r="A63" s="16" t="s">
        <v>652</v>
      </c>
      <c r="B63" s="16" t="s">
        <v>653</v>
      </c>
      <c r="C63" s="16" t="s">
        <v>654</v>
      </c>
      <c r="D63" s="16" t="s">
        <v>655</v>
      </c>
      <c r="E63" s="16" t="s">
        <v>656</v>
      </c>
      <c r="F63" s="16" t="s">
        <v>657</v>
      </c>
      <c r="G63" s="16" t="s">
        <v>458</v>
      </c>
      <c r="H63" s="16" t="s">
        <v>273</v>
      </c>
      <c r="I63" s="16" t="s">
        <v>658</v>
      </c>
      <c r="J63" s="16" t="s">
        <v>659</v>
      </c>
      <c r="K63" s="16" t="s">
        <v>660</v>
      </c>
      <c r="L63" s="19" t="s">
        <v>16</v>
      </c>
      <c r="M63" s="16" t="s">
        <v>661</v>
      </c>
      <c r="N63" s="22" t="s">
        <v>662</v>
      </c>
      <c r="O63" s="16"/>
    </row>
    <row r="64" spans="1:15">
      <c r="A64" s="16" t="s">
        <v>663</v>
      </c>
      <c r="B64" s="16" t="s">
        <v>653</v>
      </c>
      <c r="C64" s="16" t="s">
        <v>664</v>
      </c>
      <c r="D64" s="16" t="s">
        <v>665</v>
      </c>
      <c r="E64" s="16" t="s">
        <v>666</v>
      </c>
      <c r="F64" s="16" t="s">
        <v>667</v>
      </c>
      <c r="G64" s="16" t="s">
        <v>458</v>
      </c>
      <c r="H64" s="16" t="s">
        <v>273</v>
      </c>
      <c r="I64" s="16" t="s">
        <v>668</v>
      </c>
      <c r="J64" s="16" t="s">
        <v>127</v>
      </c>
      <c r="K64" s="16" t="s">
        <v>669</v>
      </c>
      <c r="L64" s="19" t="s">
        <v>16</v>
      </c>
      <c r="M64" s="16" t="s">
        <v>670</v>
      </c>
      <c r="N64" s="22" t="s">
        <v>662</v>
      </c>
      <c r="O64" s="16"/>
    </row>
    <row r="65" spans="1:15">
      <c r="A65" s="16" t="s">
        <v>671</v>
      </c>
      <c r="B65" s="16" t="s">
        <v>653</v>
      </c>
      <c r="C65" s="16" t="s">
        <v>672</v>
      </c>
      <c r="D65" s="16" t="s">
        <v>673</v>
      </c>
      <c r="E65" s="16" t="s">
        <v>674</v>
      </c>
      <c r="F65" s="16" t="s">
        <v>667</v>
      </c>
      <c r="G65" s="16" t="s">
        <v>458</v>
      </c>
      <c r="H65" s="16" t="s">
        <v>273</v>
      </c>
      <c r="I65" s="16" t="s">
        <v>668</v>
      </c>
      <c r="J65" s="16" t="s">
        <v>127</v>
      </c>
      <c r="K65" s="16" t="s">
        <v>675</v>
      </c>
      <c r="L65" s="19" t="s">
        <v>16</v>
      </c>
      <c r="M65" s="16" t="s">
        <v>676</v>
      </c>
      <c r="N65" s="22" t="s">
        <v>662</v>
      </c>
      <c r="O65" s="16"/>
    </row>
    <row r="66" spans="1:15">
      <c r="A66" s="16" t="s">
        <v>677</v>
      </c>
      <c r="B66" s="16" t="s">
        <v>653</v>
      </c>
      <c r="C66" s="16" t="s">
        <v>678</v>
      </c>
      <c r="D66" s="16" t="s">
        <v>679</v>
      </c>
      <c r="E66" s="16" t="s">
        <v>680</v>
      </c>
      <c r="F66" s="16" t="s">
        <v>667</v>
      </c>
      <c r="G66" s="16" t="s">
        <v>458</v>
      </c>
      <c r="H66" s="16" t="s">
        <v>273</v>
      </c>
      <c r="I66" s="16" t="s">
        <v>668</v>
      </c>
      <c r="J66" s="16" t="s">
        <v>127</v>
      </c>
      <c r="K66" s="16" t="s">
        <v>681</v>
      </c>
      <c r="L66" s="19" t="s">
        <v>16</v>
      </c>
      <c r="M66" s="16" t="s">
        <v>682</v>
      </c>
      <c r="N66" s="22" t="s">
        <v>662</v>
      </c>
      <c r="O66" s="16"/>
    </row>
    <row r="67" spans="1:15">
      <c r="A67" s="16" t="s">
        <v>683</v>
      </c>
      <c r="B67" s="16" t="s">
        <v>653</v>
      </c>
      <c r="C67" s="16" t="s">
        <v>684</v>
      </c>
      <c r="D67" s="16" t="s">
        <v>685</v>
      </c>
      <c r="E67" s="16" t="s">
        <v>132</v>
      </c>
      <c r="F67" s="16" t="s">
        <v>686</v>
      </c>
      <c r="G67" s="16" t="s">
        <v>458</v>
      </c>
      <c r="H67" s="16" t="s">
        <v>273</v>
      </c>
      <c r="I67" s="16" t="s">
        <v>279</v>
      </c>
      <c r="J67" s="16" t="s">
        <v>127</v>
      </c>
      <c r="K67" s="16" t="s">
        <v>144</v>
      </c>
      <c r="L67" s="19" t="s">
        <v>11</v>
      </c>
      <c r="M67" s="16" t="s">
        <v>687</v>
      </c>
      <c r="N67" s="22" t="s">
        <v>688</v>
      </c>
      <c r="O67" s="16" t="s">
        <v>689</v>
      </c>
    </row>
    <row r="68" spans="1:15">
      <c r="A68" s="17" t="s">
        <v>690</v>
      </c>
      <c r="B68" s="17" t="s">
        <v>653</v>
      </c>
      <c r="C68" s="17" t="s">
        <v>691</v>
      </c>
      <c r="D68" s="17" t="s">
        <v>692</v>
      </c>
      <c r="E68" s="17" t="s">
        <v>693</v>
      </c>
      <c r="F68" s="17" t="s">
        <v>694</v>
      </c>
      <c r="G68" s="17" t="s">
        <v>458</v>
      </c>
      <c r="H68" s="17" t="s">
        <v>273</v>
      </c>
      <c r="I68" s="17" t="s">
        <v>279</v>
      </c>
      <c r="J68" s="17" t="s">
        <v>117</v>
      </c>
      <c r="K68" s="17" t="s">
        <v>280</v>
      </c>
      <c r="L68" s="20" t="s">
        <v>16</v>
      </c>
      <c r="M68" s="17" t="s">
        <v>695</v>
      </c>
      <c r="N68" s="23" t="s">
        <v>662</v>
      </c>
      <c r="O68" s="17"/>
    </row>
  </sheetData>
  <mergeCells count="2">
    <mergeCell ref="A1:O1"/>
    <mergeCell ref="A2:O2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showGridLines="0" workbookViewId="0">
      <selection activeCell="F19" sqref="F19"/>
    </sheetView>
  </sheetViews>
  <sheetFormatPr defaultRowHeight="13.5"/>
  <cols>
    <col min="1" max="1" width="12" customWidth="1"/>
    <col min="2" max="2" width="16" customWidth="1"/>
    <col min="3" max="3" width="31" customWidth="1"/>
    <col min="4" max="4" width="34.75" customWidth="1"/>
    <col min="5" max="5" width="41.75" customWidth="1"/>
    <col min="6" max="6" width="28" customWidth="1"/>
    <col min="7" max="7" width="36.625" customWidth="1"/>
    <col min="8" max="8" width="40" customWidth="1"/>
    <col min="9" max="9" width="24" customWidth="1"/>
    <col min="10" max="10" width="53.375" customWidth="1"/>
    <col min="11" max="11" width="18" customWidth="1"/>
  </cols>
  <sheetData>
    <row r="1" spans="1:11" ht="30" customHeight="1">
      <c r="A1" s="62" t="s">
        <v>696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36" customHeight="1">
      <c r="A2" s="63" t="s">
        <v>697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38" customHeight="1">
      <c r="A4" s="28" t="s">
        <v>698</v>
      </c>
      <c r="B4" s="29" t="s">
        <v>699</v>
      </c>
      <c r="C4" s="29" t="s">
        <v>700</v>
      </c>
      <c r="D4" s="29" t="s">
        <v>701</v>
      </c>
      <c r="E4" s="29" t="s">
        <v>702</v>
      </c>
      <c r="F4" s="29" t="s">
        <v>703</v>
      </c>
      <c r="G4" s="29" t="s">
        <v>704</v>
      </c>
      <c r="H4" s="29" t="s">
        <v>705</v>
      </c>
      <c r="I4" s="29" t="s">
        <v>706</v>
      </c>
      <c r="J4" s="29" t="s">
        <v>707</v>
      </c>
      <c r="K4" s="30" t="s">
        <v>708</v>
      </c>
    </row>
    <row r="5" spans="1:11" ht="25.5">
      <c r="A5" s="15" t="s">
        <v>709</v>
      </c>
      <c r="B5" s="15" t="s">
        <v>380</v>
      </c>
      <c r="C5" s="15" t="s">
        <v>710</v>
      </c>
      <c r="D5" s="15" t="s">
        <v>711</v>
      </c>
      <c r="E5" s="15" t="s">
        <v>712</v>
      </c>
      <c r="F5" s="15" t="s">
        <v>713</v>
      </c>
      <c r="G5" s="15" t="s">
        <v>714</v>
      </c>
      <c r="H5" s="15" t="s">
        <v>715</v>
      </c>
      <c r="I5" s="15" t="s">
        <v>716</v>
      </c>
      <c r="J5" s="15" t="s">
        <v>717</v>
      </c>
      <c r="K5" s="18" t="s">
        <v>718</v>
      </c>
    </row>
    <row r="6" spans="1:11" ht="25.5">
      <c r="A6" s="16" t="s">
        <v>719</v>
      </c>
      <c r="B6" s="16" t="s">
        <v>380</v>
      </c>
      <c r="C6" s="16" t="s">
        <v>720</v>
      </c>
      <c r="D6" s="16" t="s">
        <v>721</v>
      </c>
      <c r="E6" s="16" t="s">
        <v>722</v>
      </c>
      <c r="F6" s="16" t="s">
        <v>723</v>
      </c>
      <c r="G6" s="16" t="s">
        <v>724</v>
      </c>
      <c r="H6" s="16" t="s">
        <v>725</v>
      </c>
      <c r="I6" s="16" t="s">
        <v>726</v>
      </c>
      <c r="J6" s="16" t="s">
        <v>727</v>
      </c>
      <c r="K6" s="19" t="s">
        <v>718</v>
      </c>
    </row>
    <row r="7" spans="1:11" ht="25.5">
      <c r="A7" s="16" t="s">
        <v>728</v>
      </c>
      <c r="B7" s="16" t="s">
        <v>454</v>
      </c>
      <c r="C7" s="16" t="s">
        <v>729</v>
      </c>
      <c r="D7" s="16" t="s">
        <v>730</v>
      </c>
      <c r="E7" s="16" t="s">
        <v>731</v>
      </c>
      <c r="F7" s="16" t="s">
        <v>732</v>
      </c>
      <c r="G7" s="16" t="s">
        <v>733</v>
      </c>
      <c r="H7" s="16" t="s">
        <v>734</v>
      </c>
      <c r="I7" s="16" t="s">
        <v>735</v>
      </c>
      <c r="J7" s="16" t="s">
        <v>736</v>
      </c>
      <c r="K7" s="19" t="s">
        <v>718</v>
      </c>
    </row>
    <row r="8" spans="1:11" ht="25.5">
      <c r="A8" s="16" t="s">
        <v>737</v>
      </c>
      <c r="B8" s="16" t="s">
        <v>454</v>
      </c>
      <c r="C8" s="16" t="s">
        <v>738</v>
      </c>
      <c r="D8" s="16" t="s">
        <v>739</v>
      </c>
      <c r="E8" s="16" t="s">
        <v>740</v>
      </c>
      <c r="F8" s="16" t="s">
        <v>741</v>
      </c>
      <c r="G8" s="16" t="s">
        <v>742</v>
      </c>
      <c r="H8" s="16" t="s">
        <v>743</v>
      </c>
      <c r="I8" s="16" t="s">
        <v>744</v>
      </c>
      <c r="J8" s="16" t="s">
        <v>745</v>
      </c>
      <c r="K8" s="19" t="s">
        <v>718</v>
      </c>
    </row>
    <row r="9" spans="1:11" ht="25.5">
      <c r="A9" s="16" t="s">
        <v>746</v>
      </c>
      <c r="B9" s="16" t="s">
        <v>454</v>
      </c>
      <c r="C9" s="16" t="s">
        <v>747</v>
      </c>
      <c r="D9" s="16" t="s">
        <v>748</v>
      </c>
      <c r="E9" s="16" t="s">
        <v>749</v>
      </c>
      <c r="F9" s="16" t="s">
        <v>750</v>
      </c>
      <c r="G9" s="16" t="s">
        <v>751</v>
      </c>
      <c r="H9" s="16" t="s">
        <v>752</v>
      </c>
      <c r="I9" s="16" t="s">
        <v>753</v>
      </c>
      <c r="J9" s="16" t="s">
        <v>754</v>
      </c>
      <c r="K9" s="19" t="s">
        <v>718</v>
      </c>
    </row>
    <row r="10" spans="1:11" ht="25.5">
      <c r="A10" s="16" t="s">
        <v>755</v>
      </c>
      <c r="B10" s="16" t="s">
        <v>553</v>
      </c>
      <c r="C10" s="16" t="s">
        <v>756</v>
      </c>
      <c r="D10" s="16" t="s">
        <v>757</v>
      </c>
      <c r="E10" s="16" t="s">
        <v>758</v>
      </c>
      <c r="F10" s="16" t="s">
        <v>759</v>
      </c>
      <c r="G10" s="16" t="s">
        <v>760</v>
      </c>
      <c r="H10" s="16" t="s">
        <v>761</v>
      </c>
      <c r="I10" s="16" t="s">
        <v>762</v>
      </c>
      <c r="J10" s="16" t="s">
        <v>763</v>
      </c>
      <c r="K10" s="19" t="s">
        <v>718</v>
      </c>
    </row>
    <row r="11" spans="1:11">
      <c r="A11" s="17" t="s">
        <v>764</v>
      </c>
      <c r="B11" s="17" t="s">
        <v>553</v>
      </c>
      <c r="C11" s="17" t="s">
        <v>765</v>
      </c>
      <c r="D11" s="17" t="s">
        <v>766</v>
      </c>
      <c r="E11" s="17" t="s">
        <v>767</v>
      </c>
      <c r="F11" s="17" t="s">
        <v>768</v>
      </c>
      <c r="G11" s="17" t="s">
        <v>769</v>
      </c>
      <c r="H11" s="17" t="s">
        <v>770</v>
      </c>
      <c r="I11" s="17" t="s">
        <v>771</v>
      </c>
      <c r="J11" s="17" t="s">
        <v>772</v>
      </c>
      <c r="K11" s="20" t="s">
        <v>718</v>
      </c>
    </row>
  </sheetData>
  <mergeCells count="2">
    <mergeCell ref="A1:K1"/>
    <mergeCell ref="A2:K2"/>
  </mergeCells>
  <phoneticPr fontId="1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showGridLines="0" topLeftCell="G1" workbookViewId="0">
      <selection sqref="A1:M1"/>
    </sheetView>
  </sheetViews>
  <sheetFormatPr defaultRowHeight="13.5"/>
  <cols>
    <col min="1" max="1" width="11" customWidth="1"/>
    <col min="2" max="2" width="14" customWidth="1"/>
    <col min="3" max="3" width="28" customWidth="1"/>
    <col min="4" max="4" width="20" customWidth="1"/>
    <col min="5" max="5" width="21" customWidth="1"/>
    <col min="6" max="6" width="29" customWidth="1"/>
    <col min="7" max="7" width="27" customWidth="1"/>
    <col min="8" max="8" width="41.5625" customWidth="1"/>
    <col min="9" max="9" width="31" customWidth="1"/>
    <col min="10" max="10" width="20" customWidth="1"/>
    <col min="11" max="11" width="32" customWidth="1"/>
    <col min="12" max="12" width="25" customWidth="1"/>
    <col min="13" max="13" width="10" customWidth="1"/>
  </cols>
  <sheetData>
    <row r="1" spans="1:13" ht="30" customHeight="1">
      <c r="A1" s="62" t="s">
        <v>773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36" customHeight="1">
      <c r="A2" s="63" t="s">
        <v>774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38" customHeight="1">
      <c r="A4" s="28" t="s">
        <v>775</v>
      </c>
      <c r="B4" s="29" t="s">
        <v>776</v>
      </c>
      <c r="C4" s="29" t="s">
        <v>777</v>
      </c>
      <c r="D4" s="29" t="s">
        <v>778</v>
      </c>
      <c r="E4" s="29" t="s">
        <v>779</v>
      </c>
      <c r="F4" s="29" t="s">
        <v>780</v>
      </c>
      <c r="G4" s="29" t="s">
        <v>781</v>
      </c>
      <c r="H4" s="29" t="s">
        <v>782</v>
      </c>
      <c r="I4" s="29" t="s">
        <v>783</v>
      </c>
      <c r="J4" s="29" t="s">
        <v>159</v>
      </c>
      <c r="K4" s="29" t="s">
        <v>784</v>
      </c>
      <c r="L4" s="29" t="s">
        <v>785</v>
      </c>
      <c r="M4" s="30" t="s">
        <v>786</v>
      </c>
    </row>
    <row r="5" spans="1:13">
      <c r="A5" s="15" t="s">
        <v>787</v>
      </c>
      <c r="B5" s="15" t="s">
        <v>788</v>
      </c>
      <c r="C5" s="15" t="s">
        <v>789</v>
      </c>
      <c r="D5" s="15" t="s">
        <v>790</v>
      </c>
      <c r="E5" s="15" t="s">
        <v>791</v>
      </c>
      <c r="F5" s="15" t="s">
        <v>792</v>
      </c>
      <c r="G5" s="15" t="s">
        <v>793</v>
      </c>
      <c r="H5" s="15" t="s">
        <v>794</v>
      </c>
      <c r="I5" s="15" t="s">
        <v>795</v>
      </c>
      <c r="J5" s="18" t="s">
        <v>11</v>
      </c>
      <c r="K5" s="15" t="s">
        <v>796</v>
      </c>
      <c r="L5" s="15" t="s">
        <v>797</v>
      </c>
      <c r="M5" s="15" t="s">
        <v>798</v>
      </c>
    </row>
    <row r="6" spans="1:13">
      <c r="A6" s="16" t="s">
        <v>799</v>
      </c>
      <c r="B6" s="16" t="s">
        <v>788</v>
      </c>
      <c r="C6" s="16" t="s">
        <v>800</v>
      </c>
      <c r="D6" s="16" t="s">
        <v>801</v>
      </c>
      <c r="E6" s="16" t="s">
        <v>802</v>
      </c>
      <c r="F6" s="16" t="s">
        <v>803</v>
      </c>
      <c r="G6" s="16" t="s">
        <v>169</v>
      </c>
      <c r="H6" s="16" t="s">
        <v>460</v>
      </c>
      <c r="I6" s="16" t="s">
        <v>804</v>
      </c>
      <c r="J6" s="19" t="s">
        <v>11</v>
      </c>
      <c r="K6" s="16" t="s">
        <v>805</v>
      </c>
      <c r="L6" s="16" t="s">
        <v>806</v>
      </c>
      <c r="M6" s="16" t="s">
        <v>807</v>
      </c>
    </row>
    <row r="7" spans="1:13">
      <c r="A7" s="16" t="s">
        <v>808</v>
      </c>
      <c r="B7" s="16" t="s">
        <v>809</v>
      </c>
      <c r="C7" s="16" t="s">
        <v>810</v>
      </c>
      <c r="D7" s="16" t="s">
        <v>811</v>
      </c>
      <c r="E7" s="16" t="s">
        <v>812</v>
      </c>
      <c r="F7" s="16" t="s">
        <v>813</v>
      </c>
      <c r="G7" s="16" t="s">
        <v>814</v>
      </c>
      <c r="H7" s="16" t="s">
        <v>815</v>
      </c>
      <c r="I7" s="16" t="s">
        <v>816</v>
      </c>
      <c r="J7" s="19" t="s">
        <v>16</v>
      </c>
      <c r="K7" s="16" t="s">
        <v>817</v>
      </c>
      <c r="L7" s="16" t="s">
        <v>818</v>
      </c>
      <c r="M7" s="16" t="s">
        <v>798</v>
      </c>
    </row>
    <row r="8" spans="1:13" ht="25.5">
      <c r="A8" s="16" t="s">
        <v>819</v>
      </c>
      <c r="B8" s="16" t="s">
        <v>820</v>
      </c>
      <c r="C8" s="16" t="s">
        <v>821</v>
      </c>
      <c r="D8" s="16" t="s">
        <v>822</v>
      </c>
      <c r="E8" s="16" t="s">
        <v>802</v>
      </c>
      <c r="F8" s="16" t="s">
        <v>823</v>
      </c>
      <c r="G8" s="16" t="s">
        <v>824</v>
      </c>
      <c r="H8" s="16" t="s">
        <v>825</v>
      </c>
      <c r="I8" s="16" t="s">
        <v>826</v>
      </c>
      <c r="J8" s="19" t="s">
        <v>11</v>
      </c>
      <c r="K8" s="16" t="s">
        <v>827</v>
      </c>
      <c r="L8" s="16" t="s">
        <v>828</v>
      </c>
      <c r="M8" s="16" t="s">
        <v>798</v>
      </c>
    </row>
    <row r="9" spans="1:13">
      <c r="A9" s="16" t="s">
        <v>829</v>
      </c>
      <c r="B9" s="16" t="s">
        <v>830</v>
      </c>
      <c r="C9" s="16" t="s">
        <v>831</v>
      </c>
      <c r="D9" s="16" t="s">
        <v>801</v>
      </c>
      <c r="E9" s="16" t="s">
        <v>802</v>
      </c>
      <c r="F9" s="16" t="s">
        <v>832</v>
      </c>
      <c r="G9" s="16" t="s">
        <v>833</v>
      </c>
      <c r="H9" s="16" t="s">
        <v>460</v>
      </c>
      <c r="I9" s="16" t="s">
        <v>834</v>
      </c>
      <c r="J9" s="19" t="s">
        <v>11</v>
      </c>
      <c r="K9" s="16" t="s">
        <v>835</v>
      </c>
      <c r="L9" s="16" t="s">
        <v>836</v>
      </c>
      <c r="M9" s="16" t="s">
        <v>798</v>
      </c>
    </row>
    <row r="10" spans="1:13">
      <c r="A10" s="16" t="s">
        <v>837</v>
      </c>
      <c r="B10" s="16" t="s">
        <v>838</v>
      </c>
      <c r="C10" s="16" t="s">
        <v>839</v>
      </c>
      <c r="D10" s="16" t="s">
        <v>840</v>
      </c>
      <c r="E10" s="16" t="s">
        <v>812</v>
      </c>
      <c r="F10" s="16" t="s">
        <v>841</v>
      </c>
      <c r="G10" s="16" t="s">
        <v>842</v>
      </c>
      <c r="H10" s="16" t="s">
        <v>843</v>
      </c>
      <c r="I10" s="16" t="s">
        <v>844</v>
      </c>
      <c r="J10" s="19" t="s">
        <v>16</v>
      </c>
      <c r="K10" s="16" t="s">
        <v>845</v>
      </c>
      <c r="L10" s="16" t="s">
        <v>846</v>
      </c>
      <c r="M10" s="16" t="s">
        <v>798</v>
      </c>
    </row>
    <row r="11" spans="1:13">
      <c r="A11" s="16" t="s">
        <v>847</v>
      </c>
      <c r="B11" s="16" t="s">
        <v>830</v>
      </c>
      <c r="C11" s="16" t="s">
        <v>848</v>
      </c>
      <c r="D11" s="16" t="s">
        <v>801</v>
      </c>
      <c r="E11" s="16" t="s">
        <v>802</v>
      </c>
      <c r="F11" s="16" t="s">
        <v>849</v>
      </c>
      <c r="G11" s="16" t="s">
        <v>169</v>
      </c>
      <c r="H11" s="16" t="s">
        <v>850</v>
      </c>
      <c r="I11" s="16" t="s">
        <v>851</v>
      </c>
      <c r="J11" s="19" t="s">
        <v>16</v>
      </c>
      <c r="K11" s="16" t="s">
        <v>852</v>
      </c>
      <c r="L11" s="16" t="s">
        <v>853</v>
      </c>
      <c r="M11" s="16" t="s">
        <v>798</v>
      </c>
    </row>
    <row r="12" spans="1:13">
      <c r="A12" s="16" t="s">
        <v>854</v>
      </c>
      <c r="B12" s="16" t="s">
        <v>830</v>
      </c>
      <c r="C12" s="16" t="s">
        <v>855</v>
      </c>
      <c r="D12" s="16" t="s">
        <v>856</v>
      </c>
      <c r="E12" s="16" t="s">
        <v>857</v>
      </c>
      <c r="F12" s="16" t="s">
        <v>858</v>
      </c>
      <c r="G12" s="16" t="s">
        <v>859</v>
      </c>
      <c r="H12" s="16" t="s">
        <v>860</v>
      </c>
      <c r="I12" s="16" t="s">
        <v>861</v>
      </c>
      <c r="J12" s="19" t="s">
        <v>16</v>
      </c>
      <c r="K12" s="16" t="s">
        <v>862</v>
      </c>
      <c r="L12" s="16" t="s">
        <v>863</v>
      </c>
      <c r="M12" s="16" t="s">
        <v>807</v>
      </c>
    </row>
    <row r="13" spans="1:13">
      <c r="A13" s="16" t="s">
        <v>864</v>
      </c>
      <c r="B13" s="16" t="s">
        <v>865</v>
      </c>
      <c r="C13" s="16" t="s">
        <v>866</v>
      </c>
      <c r="D13" s="16" t="s">
        <v>867</v>
      </c>
      <c r="E13" s="16" t="s">
        <v>868</v>
      </c>
      <c r="F13" s="16" t="s">
        <v>869</v>
      </c>
      <c r="G13" s="16" t="s">
        <v>870</v>
      </c>
      <c r="H13" s="16" t="s">
        <v>871</v>
      </c>
      <c r="I13" s="16" t="s">
        <v>872</v>
      </c>
      <c r="J13" s="19" t="s">
        <v>11</v>
      </c>
      <c r="K13" s="16" t="s">
        <v>873</v>
      </c>
      <c r="L13" s="16" t="s">
        <v>874</v>
      </c>
      <c r="M13" s="16" t="s">
        <v>798</v>
      </c>
    </row>
    <row r="14" spans="1:13">
      <c r="A14" s="16" t="s">
        <v>875</v>
      </c>
      <c r="B14" s="16" t="s">
        <v>865</v>
      </c>
      <c r="C14" s="16" t="s">
        <v>876</v>
      </c>
      <c r="D14" s="16" t="s">
        <v>877</v>
      </c>
      <c r="E14" s="16" t="s">
        <v>878</v>
      </c>
      <c r="F14" s="16" t="s">
        <v>879</v>
      </c>
      <c r="G14" s="16" t="s">
        <v>880</v>
      </c>
      <c r="H14" s="16" t="s">
        <v>881</v>
      </c>
      <c r="I14" s="16" t="s">
        <v>882</v>
      </c>
      <c r="J14" s="19" t="s">
        <v>16</v>
      </c>
      <c r="K14" s="16" t="s">
        <v>883</v>
      </c>
      <c r="L14" s="16" t="s">
        <v>884</v>
      </c>
      <c r="M14" s="16" t="s">
        <v>807</v>
      </c>
    </row>
    <row r="15" spans="1:13">
      <c r="A15" s="16" t="s">
        <v>885</v>
      </c>
      <c r="B15" s="16" t="s">
        <v>886</v>
      </c>
      <c r="C15" s="16" t="s">
        <v>887</v>
      </c>
      <c r="D15" s="16" t="s">
        <v>888</v>
      </c>
      <c r="E15" s="16" t="s">
        <v>889</v>
      </c>
      <c r="F15" s="16" t="s">
        <v>890</v>
      </c>
      <c r="G15" s="16" t="s">
        <v>891</v>
      </c>
      <c r="H15" s="16" t="s">
        <v>892</v>
      </c>
      <c r="I15" s="16" t="s">
        <v>893</v>
      </c>
      <c r="J15" s="19" t="s">
        <v>16</v>
      </c>
      <c r="K15" s="16" t="s">
        <v>894</v>
      </c>
      <c r="L15" s="16" t="s">
        <v>895</v>
      </c>
      <c r="M15" s="16" t="s">
        <v>798</v>
      </c>
    </row>
    <row r="16" spans="1:13" ht="25.5">
      <c r="A16" s="16" t="s">
        <v>896</v>
      </c>
      <c r="B16" s="16" t="s">
        <v>897</v>
      </c>
      <c r="C16" s="16" t="s">
        <v>898</v>
      </c>
      <c r="D16" s="16" t="s">
        <v>899</v>
      </c>
      <c r="E16" s="16" t="s">
        <v>900</v>
      </c>
      <c r="F16" s="16" t="s">
        <v>252</v>
      </c>
      <c r="G16" s="16" t="s">
        <v>901</v>
      </c>
      <c r="H16" s="16" t="s">
        <v>902</v>
      </c>
      <c r="I16" s="16" t="s">
        <v>903</v>
      </c>
      <c r="J16" s="19" t="s">
        <v>16</v>
      </c>
      <c r="K16" s="16" t="s">
        <v>904</v>
      </c>
      <c r="L16" s="16" t="s">
        <v>905</v>
      </c>
      <c r="M16" s="16" t="s">
        <v>798</v>
      </c>
    </row>
    <row r="17" spans="1:13">
      <c r="A17" s="16" t="s">
        <v>906</v>
      </c>
      <c r="B17" s="16" t="s">
        <v>907</v>
      </c>
      <c r="C17" s="16" t="s">
        <v>908</v>
      </c>
      <c r="D17" s="16" t="s">
        <v>909</v>
      </c>
      <c r="E17" s="16" t="s">
        <v>802</v>
      </c>
      <c r="F17" s="16" t="s">
        <v>910</v>
      </c>
      <c r="G17" s="16" t="s">
        <v>911</v>
      </c>
      <c r="H17" s="16" t="s">
        <v>912</v>
      </c>
      <c r="I17" s="16" t="s">
        <v>913</v>
      </c>
      <c r="J17" s="19" t="s">
        <v>16</v>
      </c>
      <c r="K17" s="16" t="s">
        <v>914</v>
      </c>
      <c r="L17" s="16" t="s">
        <v>915</v>
      </c>
      <c r="M17" s="16" t="s">
        <v>798</v>
      </c>
    </row>
    <row r="18" spans="1:13">
      <c r="A18" s="16" t="s">
        <v>916</v>
      </c>
      <c r="B18" s="16" t="s">
        <v>917</v>
      </c>
      <c r="C18" s="16" t="s">
        <v>918</v>
      </c>
      <c r="D18" s="16" t="s">
        <v>919</v>
      </c>
      <c r="E18" s="16" t="s">
        <v>920</v>
      </c>
      <c r="F18" s="16" t="s">
        <v>226</v>
      </c>
      <c r="G18" s="16" t="s">
        <v>921</v>
      </c>
      <c r="H18" s="16" t="s">
        <v>922</v>
      </c>
      <c r="I18" s="16" t="s">
        <v>923</v>
      </c>
      <c r="J18" s="19" t="s">
        <v>16</v>
      </c>
      <c r="K18" s="16" t="s">
        <v>924</v>
      </c>
      <c r="L18" s="16" t="s">
        <v>925</v>
      </c>
      <c r="M18" s="16" t="s">
        <v>807</v>
      </c>
    </row>
    <row r="19" spans="1:13">
      <c r="A19" s="17" t="s">
        <v>926</v>
      </c>
      <c r="B19" s="17" t="s">
        <v>163</v>
      </c>
      <c r="C19" s="17" t="s">
        <v>927</v>
      </c>
      <c r="D19" s="17" t="s">
        <v>928</v>
      </c>
      <c r="E19" s="17" t="s">
        <v>929</v>
      </c>
      <c r="F19" s="17" t="s">
        <v>930</v>
      </c>
      <c r="G19" s="17" t="s">
        <v>931</v>
      </c>
      <c r="H19" s="17" t="s">
        <v>932</v>
      </c>
      <c r="I19" s="17" t="s">
        <v>933</v>
      </c>
      <c r="J19" s="20" t="s">
        <v>11</v>
      </c>
      <c r="K19" s="17" t="s">
        <v>934</v>
      </c>
      <c r="L19" s="17" t="s">
        <v>935</v>
      </c>
      <c r="M19" s="17" t="s">
        <v>798</v>
      </c>
    </row>
  </sheetData>
  <mergeCells count="2">
    <mergeCell ref="A1:M1"/>
    <mergeCell ref="A2:M2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showGridLines="0" workbookViewId="0">
      <selection sqref="A1:N1"/>
    </sheetView>
  </sheetViews>
  <sheetFormatPr defaultRowHeight="13.5"/>
  <cols>
    <col min="1" max="1" width="12" customWidth="1"/>
    <col min="2" max="2" width="15" customWidth="1"/>
    <col min="3" max="3" width="29" customWidth="1"/>
    <col min="4" max="4" width="31" customWidth="1"/>
    <col min="5" max="5" width="22" customWidth="1"/>
    <col min="6" max="6" width="31" customWidth="1"/>
    <col min="7" max="7" width="48" customWidth="1"/>
    <col min="8" max="8" width="20" customWidth="1"/>
    <col min="9" max="9" width="25" customWidth="1"/>
    <col min="10" max="10" width="34" customWidth="1"/>
    <col min="11" max="11" width="18" customWidth="1"/>
    <col min="12" max="12" width="28" customWidth="1"/>
    <col min="13" max="13" width="23" customWidth="1"/>
    <col min="14" max="14" width="10" customWidth="1"/>
  </cols>
  <sheetData>
    <row r="1" spans="1:14" ht="30" customHeight="1">
      <c r="A1" s="64" t="s">
        <v>1812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36" customHeight="1">
      <c r="A2" s="63" t="s">
        <v>936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38" customHeight="1">
      <c r="A4" s="28" t="s">
        <v>937</v>
      </c>
      <c r="B4" s="29" t="s">
        <v>149</v>
      </c>
      <c r="C4" s="29" t="s">
        <v>938</v>
      </c>
      <c r="D4" s="29" t="s">
        <v>939</v>
      </c>
      <c r="E4" s="29" t="s">
        <v>940</v>
      </c>
      <c r="F4" s="29" t="s">
        <v>941</v>
      </c>
      <c r="G4" s="29" t="s">
        <v>942</v>
      </c>
      <c r="H4" s="29" t="s">
        <v>159</v>
      </c>
      <c r="I4" s="29" t="s">
        <v>943</v>
      </c>
      <c r="J4" s="29" t="s">
        <v>944</v>
      </c>
      <c r="K4" s="29" t="s">
        <v>945</v>
      </c>
      <c r="L4" s="29" t="s">
        <v>946</v>
      </c>
      <c r="M4" s="29" t="s">
        <v>947</v>
      </c>
      <c r="N4" s="30" t="s">
        <v>786</v>
      </c>
    </row>
    <row r="5" spans="1:14">
      <c r="A5" s="15" t="s">
        <v>948</v>
      </c>
      <c r="B5" s="15" t="s">
        <v>949</v>
      </c>
      <c r="C5" s="15" t="s">
        <v>950</v>
      </c>
      <c r="D5" s="15" t="s">
        <v>270</v>
      </c>
      <c r="E5" s="15" t="s">
        <v>951</v>
      </c>
      <c r="F5" s="15" t="s">
        <v>952</v>
      </c>
      <c r="G5" s="15" t="s">
        <v>953</v>
      </c>
      <c r="H5" s="18" t="s">
        <v>11</v>
      </c>
      <c r="I5" s="15" t="s">
        <v>954</v>
      </c>
      <c r="J5" s="15" t="s">
        <v>955</v>
      </c>
      <c r="K5" s="18" t="s">
        <v>956</v>
      </c>
      <c r="L5" s="15" t="s">
        <v>957</v>
      </c>
      <c r="M5" s="15" t="s">
        <v>958</v>
      </c>
      <c r="N5" s="15" t="s">
        <v>798</v>
      </c>
    </row>
    <row r="6" spans="1:14" ht="25.5">
      <c r="A6" s="16" t="s">
        <v>959</v>
      </c>
      <c r="B6" s="16" t="s">
        <v>949</v>
      </c>
      <c r="C6" s="16" t="s">
        <v>960</v>
      </c>
      <c r="D6" s="16" t="s">
        <v>961</v>
      </c>
      <c r="E6" s="16" t="s">
        <v>962</v>
      </c>
      <c r="F6" s="16" t="s">
        <v>963</v>
      </c>
      <c r="G6" s="16" t="s">
        <v>964</v>
      </c>
      <c r="H6" s="19" t="s">
        <v>11</v>
      </c>
      <c r="I6" s="16" t="s">
        <v>965</v>
      </c>
      <c r="J6" s="16" t="s">
        <v>966</v>
      </c>
      <c r="K6" s="19" t="s">
        <v>956</v>
      </c>
      <c r="L6" s="16" t="s">
        <v>967</v>
      </c>
      <c r="M6" s="16" t="s">
        <v>968</v>
      </c>
      <c r="N6" s="16" t="s">
        <v>798</v>
      </c>
    </row>
    <row r="7" spans="1:14" ht="25.5">
      <c r="A7" s="16" t="s">
        <v>969</v>
      </c>
      <c r="B7" s="16" t="s">
        <v>949</v>
      </c>
      <c r="C7" s="16" t="s">
        <v>970</v>
      </c>
      <c r="D7" s="16" t="s">
        <v>971</v>
      </c>
      <c r="E7" s="16" t="s">
        <v>443</v>
      </c>
      <c r="F7" s="16" t="s">
        <v>972</v>
      </c>
      <c r="G7" s="16" t="s">
        <v>964</v>
      </c>
      <c r="H7" s="19" t="s">
        <v>16</v>
      </c>
      <c r="I7" s="16" t="s">
        <v>973</v>
      </c>
      <c r="J7" s="16" t="s">
        <v>974</v>
      </c>
      <c r="K7" s="19" t="s">
        <v>956</v>
      </c>
      <c r="L7" s="16" t="s">
        <v>975</v>
      </c>
      <c r="M7" s="16" t="s">
        <v>976</v>
      </c>
      <c r="N7" s="16" t="s">
        <v>798</v>
      </c>
    </row>
    <row r="8" spans="1:14">
      <c r="A8" s="16" t="s">
        <v>977</v>
      </c>
      <c r="B8" s="16" t="s">
        <v>949</v>
      </c>
      <c r="C8" s="16" t="s">
        <v>978</v>
      </c>
      <c r="D8" s="16" t="s">
        <v>979</v>
      </c>
      <c r="E8" s="16" t="s">
        <v>451</v>
      </c>
      <c r="F8" s="16" t="s">
        <v>980</v>
      </c>
      <c r="G8" s="16"/>
      <c r="H8" s="19" t="s">
        <v>16</v>
      </c>
      <c r="I8" s="16" t="s">
        <v>981</v>
      </c>
      <c r="J8" s="16" t="s">
        <v>982</v>
      </c>
      <c r="K8" s="19" t="s">
        <v>956</v>
      </c>
      <c r="L8" s="16" t="s">
        <v>983</v>
      </c>
      <c r="M8" s="16" t="s">
        <v>984</v>
      </c>
      <c r="N8" s="16" t="s">
        <v>798</v>
      </c>
    </row>
    <row r="9" spans="1:14" ht="25.5">
      <c r="A9" s="16" t="s">
        <v>985</v>
      </c>
      <c r="B9" s="16" t="s">
        <v>949</v>
      </c>
      <c r="C9" s="16" t="s">
        <v>986</v>
      </c>
      <c r="D9" s="16" t="s">
        <v>987</v>
      </c>
      <c r="E9" s="16" t="s">
        <v>988</v>
      </c>
      <c r="F9" s="16" t="s">
        <v>989</v>
      </c>
      <c r="G9" s="16" t="s">
        <v>717</v>
      </c>
      <c r="H9" s="19" t="s">
        <v>11</v>
      </c>
      <c r="I9" s="16" t="s">
        <v>990</v>
      </c>
      <c r="J9" s="16" t="s">
        <v>991</v>
      </c>
      <c r="K9" s="19" t="s">
        <v>956</v>
      </c>
      <c r="L9" s="16" t="s">
        <v>992</v>
      </c>
      <c r="M9" s="16" t="s">
        <v>993</v>
      </c>
      <c r="N9" s="16" t="s">
        <v>798</v>
      </c>
    </row>
    <row r="10" spans="1:14" ht="25.5">
      <c r="A10" s="16" t="s">
        <v>994</v>
      </c>
      <c r="B10" s="16" t="s">
        <v>949</v>
      </c>
      <c r="C10" s="16" t="s">
        <v>995</v>
      </c>
      <c r="D10" s="16" t="s">
        <v>996</v>
      </c>
      <c r="E10" s="16" t="s">
        <v>997</v>
      </c>
      <c r="F10" s="16" t="s">
        <v>998</v>
      </c>
      <c r="G10" s="16" t="s">
        <v>727</v>
      </c>
      <c r="H10" s="19" t="s">
        <v>11</v>
      </c>
      <c r="I10" s="16" t="s">
        <v>999</v>
      </c>
      <c r="J10" s="16" t="s">
        <v>1000</v>
      </c>
      <c r="K10" s="19" t="s">
        <v>956</v>
      </c>
      <c r="L10" s="16" t="s">
        <v>1001</v>
      </c>
      <c r="M10" s="16" t="s">
        <v>997</v>
      </c>
      <c r="N10" s="16" t="s">
        <v>807</v>
      </c>
    </row>
    <row r="11" spans="1:14">
      <c r="A11" s="16" t="s">
        <v>1002</v>
      </c>
      <c r="B11" s="16" t="s">
        <v>1003</v>
      </c>
      <c r="C11" s="16" t="s">
        <v>1004</v>
      </c>
      <c r="D11" s="16" t="s">
        <v>1005</v>
      </c>
      <c r="E11" s="16" t="s">
        <v>1006</v>
      </c>
      <c r="F11" s="16" t="s">
        <v>1007</v>
      </c>
      <c r="G11" s="16" t="s">
        <v>1008</v>
      </c>
      <c r="H11" s="19" t="s">
        <v>11</v>
      </c>
      <c r="I11" s="16" t="s">
        <v>1009</v>
      </c>
      <c r="J11" s="16" t="s">
        <v>1010</v>
      </c>
      <c r="K11" s="19" t="s">
        <v>956</v>
      </c>
      <c r="L11" s="16" t="s">
        <v>1011</v>
      </c>
      <c r="M11" s="16" t="s">
        <v>1012</v>
      </c>
      <c r="N11" s="16" t="s">
        <v>798</v>
      </c>
    </row>
    <row r="12" spans="1:14">
      <c r="A12" s="16" t="s">
        <v>1013</v>
      </c>
      <c r="B12" s="16" t="s">
        <v>1003</v>
      </c>
      <c r="C12" s="16" t="s">
        <v>501</v>
      </c>
      <c r="D12" s="16" t="s">
        <v>1014</v>
      </c>
      <c r="E12" s="16" t="s">
        <v>1015</v>
      </c>
      <c r="F12" s="16" t="s">
        <v>1016</v>
      </c>
      <c r="G12" s="16" t="s">
        <v>1017</v>
      </c>
      <c r="H12" s="19" t="s">
        <v>11</v>
      </c>
      <c r="I12" s="16" t="s">
        <v>1009</v>
      </c>
      <c r="J12" s="16" t="s">
        <v>1018</v>
      </c>
      <c r="K12" s="19" t="s">
        <v>956</v>
      </c>
      <c r="L12" s="16" t="s">
        <v>1019</v>
      </c>
      <c r="M12" s="16" t="s">
        <v>958</v>
      </c>
      <c r="N12" s="16" t="s">
        <v>798</v>
      </c>
    </row>
    <row r="13" spans="1:14">
      <c r="A13" s="16" t="s">
        <v>1020</v>
      </c>
      <c r="B13" s="16" t="s">
        <v>1003</v>
      </c>
      <c r="C13" s="16" t="s">
        <v>1021</v>
      </c>
      <c r="D13" s="16" t="s">
        <v>1022</v>
      </c>
      <c r="E13" s="16" t="s">
        <v>1023</v>
      </c>
      <c r="F13" s="16" t="s">
        <v>495</v>
      </c>
      <c r="G13" s="16" t="s">
        <v>1008</v>
      </c>
      <c r="H13" s="19" t="s">
        <v>11</v>
      </c>
      <c r="I13" s="16" t="s">
        <v>1009</v>
      </c>
      <c r="J13" s="16" t="s">
        <v>1024</v>
      </c>
      <c r="K13" s="19" t="s">
        <v>1025</v>
      </c>
      <c r="L13" s="16" t="s">
        <v>1026</v>
      </c>
      <c r="M13" s="16" t="s">
        <v>976</v>
      </c>
      <c r="N13" s="16" t="s">
        <v>798</v>
      </c>
    </row>
    <row r="14" spans="1:14" ht="25.5">
      <c r="A14" s="16" t="s">
        <v>1027</v>
      </c>
      <c r="B14" s="16" t="s">
        <v>1003</v>
      </c>
      <c r="C14" s="16" t="s">
        <v>1028</v>
      </c>
      <c r="D14" s="16" t="s">
        <v>1029</v>
      </c>
      <c r="E14" s="16" t="s">
        <v>1030</v>
      </c>
      <c r="F14" s="16" t="s">
        <v>1031</v>
      </c>
      <c r="G14" s="16" t="s">
        <v>1032</v>
      </c>
      <c r="H14" s="19" t="s">
        <v>16</v>
      </c>
      <c r="I14" s="16" t="s">
        <v>1033</v>
      </c>
      <c r="J14" s="16" t="s">
        <v>1034</v>
      </c>
      <c r="K14" s="19" t="s">
        <v>956</v>
      </c>
      <c r="L14" s="16" t="s">
        <v>1035</v>
      </c>
      <c r="M14" s="16" t="s">
        <v>1036</v>
      </c>
      <c r="N14" s="16" t="s">
        <v>807</v>
      </c>
    </row>
    <row r="15" spans="1:14">
      <c r="A15" s="16" t="s">
        <v>1037</v>
      </c>
      <c r="B15" s="16" t="s">
        <v>1003</v>
      </c>
      <c r="C15" s="16" t="s">
        <v>1038</v>
      </c>
      <c r="D15" s="16" t="s">
        <v>1039</v>
      </c>
      <c r="E15" s="16" t="s">
        <v>1040</v>
      </c>
      <c r="F15" s="16" t="s">
        <v>1041</v>
      </c>
      <c r="G15" s="16" t="s">
        <v>736</v>
      </c>
      <c r="H15" s="19" t="s">
        <v>11</v>
      </c>
      <c r="I15" s="16" t="s">
        <v>1042</v>
      </c>
      <c r="J15" s="16" t="s">
        <v>1043</v>
      </c>
      <c r="K15" s="19" t="s">
        <v>956</v>
      </c>
      <c r="L15" s="16" t="s">
        <v>1044</v>
      </c>
      <c r="M15" s="16" t="s">
        <v>1045</v>
      </c>
      <c r="N15" s="16" t="s">
        <v>798</v>
      </c>
    </row>
    <row r="16" spans="1:14" ht="25.5">
      <c r="A16" s="16" t="s">
        <v>1046</v>
      </c>
      <c r="B16" s="16" t="s">
        <v>1003</v>
      </c>
      <c r="C16" s="16" t="s">
        <v>1047</v>
      </c>
      <c r="D16" s="16" t="s">
        <v>1048</v>
      </c>
      <c r="E16" s="16" t="s">
        <v>434</v>
      </c>
      <c r="F16" s="16" t="s">
        <v>1049</v>
      </c>
      <c r="G16" s="16" t="s">
        <v>754</v>
      </c>
      <c r="H16" s="19" t="s">
        <v>11</v>
      </c>
      <c r="I16" s="16" t="s">
        <v>1050</v>
      </c>
      <c r="J16" s="16" t="s">
        <v>1051</v>
      </c>
      <c r="K16" s="19" t="s">
        <v>1052</v>
      </c>
      <c r="L16" s="16" t="s">
        <v>1053</v>
      </c>
      <c r="M16" s="16" t="s">
        <v>1054</v>
      </c>
      <c r="N16" s="16" t="s">
        <v>807</v>
      </c>
    </row>
    <row r="17" spans="1:14" ht="25.5">
      <c r="A17" s="16" t="s">
        <v>1055</v>
      </c>
      <c r="B17" s="16" t="s">
        <v>553</v>
      </c>
      <c r="C17" s="16" t="s">
        <v>1056</v>
      </c>
      <c r="D17" s="16" t="s">
        <v>1057</v>
      </c>
      <c r="E17" s="16" t="s">
        <v>1058</v>
      </c>
      <c r="F17" s="16" t="s">
        <v>1059</v>
      </c>
      <c r="G17" s="16" t="s">
        <v>1060</v>
      </c>
      <c r="H17" s="19" t="s">
        <v>11</v>
      </c>
      <c r="I17" s="16" t="s">
        <v>1061</v>
      </c>
      <c r="J17" s="16" t="s">
        <v>1062</v>
      </c>
      <c r="K17" s="19" t="s">
        <v>956</v>
      </c>
      <c r="L17" s="16" t="s">
        <v>1063</v>
      </c>
      <c r="M17" s="16" t="s">
        <v>1064</v>
      </c>
      <c r="N17" s="16" t="s">
        <v>798</v>
      </c>
    </row>
    <row r="18" spans="1:14" ht="25.5">
      <c r="A18" s="16" t="s">
        <v>1065</v>
      </c>
      <c r="B18" s="16" t="s">
        <v>553</v>
      </c>
      <c r="C18" s="16" t="s">
        <v>1066</v>
      </c>
      <c r="D18" s="16" t="s">
        <v>1067</v>
      </c>
      <c r="E18" s="16" t="s">
        <v>1068</v>
      </c>
      <c r="F18" s="16" t="s">
        <v>1069</v>
      </c>
      <c r="G18" s="16" t="s">
        <v>763</v>
      </c>
      <c r="H18" s="19" t="s">
        <v>16</v>
      </c>
      <c r="I18" s="16" t="s">
        <v>1070</v>
      </c>
      <c r="J18" s="16" t="s">
        <v>1071</v>
      </c>
      <c r="K18" s="19" t="s">
        <v>956</v>
      </c>
      <c r="L18" s="16" t="s">
        <v>1072</v>
      </c>
      <c r="M18" s="16" t="s">
        <v>976</v>
      </c>
      <c r="N18" s="16" t="s">
        <v>798</v>
      </c>
    </row>
    <row r="19" spans="1:14">
      <c r="A19" s="16" t="s">
        <v>1073</v>
      </c>
      <c r="B19" s="16" t="s">
        <v>553</v>
      </c>
      <c r="C19" s="16" t="s">
        <v>1074</v>
      </c>
      <c r="D19" s="16" t="s">
        <v>1075</v>
      </c>
      <c r="E19" s="16" t="s">
        <v>1076</v>
      </c>
      <c r="F19" s="16" t="s">
        <v>1077</v>
      </c>
      <c r="G19" s="16"/>
      <c r="H19" s="19" t="s">
        <v>11</v>
      </c>
      <c r="I19" s="16" t="s">
        <v>1078</v>
      </c>
      <c r="J19" s="16" t="s">
        <v>1079</v>
      </c>
      <c r="K19" s="19" t="s">
        <v>1080</v>
      </c>
      <c r="L19" s="16" t="s">
        <v>1081</v>
      </c>
      <c r="M19" s="16" t="s">
        <v>1036</v>
      </c>
      <c r="N19" s="16" t="s">
        <v>807</v>
      </c>
    </row>
    <row r="20" spans="1:14">
      <c r="A20" s="16" t="s">
        <v>1082</v>
      </c>
      <c r="B20" s="16" t="s">
        <v>553</v>
      </c>
      <c r="C20" s="16" t="s">
        <v>612</v>
      </c>
      <c r="D20" s="16" t="s">
        <v>1083</v>
      </c>
      <c r="E20" s="16" t="s">
        <v>1084</v>
      </c>
      <c r="F20" s="16" t="s">
        <v>1085</v>
      </c>
      <c r="G20" s="16"/>
      <c r="H20" s="19" t="s">
        <v>16</v>
      </c>
      <c r="I20" s="16" t="s">
        <v>1086</v>
      </c>
      <c r="J20" s="16" t="s">
        <v>1087</v>
      </c>
      <c r="K20" s="19" t="s">
        <v>956</v>
      </c>
      <c r="L20" s="16" t="s">
        <v>1088</v>
      </c>
      <c r="M20" s="16" t="s">
        <v>976</v>
      </c>
      <c r="N20" s="16" t="s">
        <v>1089</v>
      </c>
    </row>
    <row r="21" spans="1:14" ht="25.5">
      <c r="A21" s="16" t="s">
        <v>1090</v>
      </c>
      <c r="B21" s="16" t="s">
        <v>553</v>
      </c>
      <c r="C21" s="16" t="s">
        <v>1091</v>
      </c>
      <c r="D21" s="16" t="s">
        <v>1092</v>
      </c>
      <c r="E21" s="16" t="s">
        <v>1093</v>
      </c>
      <c r="F21" s="16" t="s">
        <v>1094</v>
      </c>
      <c r="G21" s="16" t="s">
        <v>763</v>
      </c>
      <c r="H21" s="19" t="s">
        <v>11</v>
      </c>
      <c r="I21" s="16" t="s">
        <v>1095</v>
      </c>
      <c r="J21" s="16" t="s">
        <v>1096</v>
      </c>
      <c r="K21" s="19" t="s">
        <v>956</v>
      </c>
      <c r="L21" s="16" t="s">
        <v>1097</v>
      </c>
      <c r="M21" s="16" t="s">
        <v>1098</v>
      </c>
      <c r="N21" s="16" t="s">
        <v>798</v>
      </c>
    </row>
    <row r="22" spans="1:14" ht="25.5">
      <c r="A22" s="16" t="s">
        <v>1099</v>
      </c>
      <c r="B22" s="16" t="s">
        <v>163</v>
      </c>
      <c r="C22" s="16" t="s">
        <v>1100</v>
      </c>
      <c r="D22" s="16" t="s">
        <v>1101</v>
      </c>
      <c r="E22" s="16" t="s">
        <v>1102</v>
      </c>
      <c r="F22" s="16" t="s">
        <v>1103</v>
      </c>
      <c r="G22" s="16"/>
      <c r="H22" s="19" t="s">
        <v>16</v>
      </c>
      <c r="I22" s="16" t="s">
        <v>1104</v>
      </c>
      <c r="J22" s="16" t="s">
        <v>1105</v>
      </c>
      <c r="K22" s="19" t="s">
        <v>956</v>
      </c>
      <c r="L22" s="16" t="s">
        <v>1106</v>
      </c>
      <c r="M22" s="16" t="s">
        <v>1107</v>
      </c>
      <c r="N22" s="16" t="s">
        <v>798</v>
      </c>
    </row>
    <row r="23" spans="1:14">
      <c r="A23" s="16" t="s">
        <v>1108</v>
      </c>
      <c r="B23" s="16" t="s">
        <v>163</v>
      </c>
      <c r="C23" s="16" t="s">
        <v>1109</v>
      </c>
      <c r="D23" s="16" t="s">
        <v>1110</v>
      </c>
      <c r="E23" s="16" t="s">
        <v>1111</v>
      </c>
      <c r="F23" s="16" t="s">
        <v>1112</v>
      </c>
      <c r="G23" s="16"/>
      <c r="H23" s="19" t="s">
        <v>16</v>
      </c>
      <c r="I23" s="16" t="s">
        <v>1113</v>
      </c>
      <c r="J23" s="16" t="s">
        <v>1114</v>
      </c>
      <c r="K23" s="19" t="s">
        <v>956</v>
      </c>
      <c r="L23" s="16" t="s">
        <v>1115</v>
      </c>
      <c r="M23" s="16" t="s">
        <v>976</v>
      </c>
      <c r="N23" s="16" t="s">
        <v>798</v>
      </c>
    </row>
    <row r="24" spans="1:14">
      <c r="A24" s="16" t="s">
        <v>1116</v>
      </c>
      <c r="B24" s="16" t="s">
        <v>163</v>
      </c>
      <c r="C24" s="16" t="s">
        <v>1117</v>
      </c>
      <c r="D24" s="16" t="s">
        <v>1118</v>
      </c>
      <c r="E24" s="16" t="s">
        <v>1119</v>
      </c>
      <c r="F24" s="16" t="s">
        <v>1120</v>
      </c>
      <c r="G24" s="16"/>
      <c r="H24" s="19" t="s">
        <v>6</v>
      </c>
      <c r="I24" s="16" t="s">
        <v>68</v>
      </c>
      <c r="J24" s="16" t="s">
        <v>1121</v>
      </c>
      <c r="K24" s="19" t="s">
        <v>1122</v>
      </c>
      <c r="L24" s="16" t="s">
        <v>1123</v>
      </c>
      <c r="M24" s="16" t="s">
        <v>144</v>
      </c>
      <c r="N24" s="16" t="s">
        <v>798</v>
      </c>
    </row>
    <row r="25" spans="1:14">
      <c r="A25" s="16" t="s">
        <v>1124</v>
      </c>
      <c r="B25" s="16" t="s">
        <v>163</v>
      </c>
      <c r="C25" s="16" t="s">
        <v>1125</v>
      </c>
      <c r="D25" s="16" t="s">
        <v>1126</v>
      </c>
      <c r="E25" s="16" t="s">
        <v>1127</v>
      </c>
      <c r="F25" s="16" t="s">
        <v>1128</v>
      </c>
      <c r="G25" s="16"/>
      <c r="H25" s="19" t="s">
        <v>11</v>
      </c>
      <c r="I25" s="16" t="s">
        <v>1129</v>
      </c>
      <c r="J25" s="16" t="s">
        <v>1130</v>
      </c>
      <c r="K25" s="19" t="s">
        <v>1131</v>
      </c>
      <c r="L25" s="16" t="s">
        <v>1132</v>
      </c>
      <c r="M25" s="16" t="s">
        <v>1036</v>
      </c>
      <c r="N25" s="16" t="s">
        <v>807</v>
      </c>
    </row>
    <row r="26" spans="1:14">
      <c r="A26" s="16" t="s">
        <v>1133</v>
      </c>
      <c r="B26" s="16" t="s">
        <v>163</v>
      </c>
      <c r="C26" s="16" t="s">
        <v>1134</v>
      </c>
      <c r="D26" s="16" t="s">
        <v>1135</v>
      </c>
      <c r="E26" s="16" t="s">
        <v>649</v>
      </c>
      <c r="F26" s="16" t="s">
        <v>1136</v>
      </c>
      <c r="G26" s="16"/>
      <c r="H26" s="19" t="s">
        <v>6</v>
      </c>
      <c r="I26" s="16" t="s">
        <v>1137</v>
      </c>
      <c r="J26" s="16" t="s">
        <v>1138</v>
      </c>
      <c r="K26" s="19" t="s">
        <v>1139</v>
      </c>
      <c r="L26" s="16" t="s">
        <v>1140</v>
      </c>
      <c r="M26" s="16" t="s">
        <v>1141</v>
      </c>
      <c r="N26" s="16" t="s">
        <v>807</v>
      </c>
    </row>
    <row r="27" spans="1:14" ht="25.5">
      <c r="A27" s="16" t="s">
        <v>1142</v>
      </c>
      <c r="B27" s="16" t="s">
        <v>1143</v>
      </c>
      <c r="C27" s="16" t="s">
        <v>1144</v>
      </c>
      <c r="D27" s="16" t="s">
        <v>1145</v>
      </c>
      <c r="E27" s="16" t="s">
        <v>1146</v>
      </c>
      <c r="F27" s="16" t="s">
        <v>1147</v>
      </c>
      <c r="G27" s="16" t="s">
        <v>1148</v>
      </c>
      <c r="H27" s="19" t="s">
        <v>6</v>
      </c>
      <c r="I27" s="16" t="s">
        <v>1149</v>
      </c>
      <c r="J27" s="16" t="s">
        <v>1150</v>
      </c>
      <c r="K27" s="19" t="s">
        <v>1151</v>
      </c>
      <c r="L27" s="16" t="s">
        <v>1152</v>
      </c>
      <c r="M27" s="16" t="s">
        <v>1153</v>
      </c>
      <c r="N27" s="16" t="s">
        <v>798</v>
      </c>
    </row>
    <row r="28" spans="1:14">
      <c r="A28" s="16" t="s">
        <v>1154</v>
      </c>
      <c r="B28" s="16" t="s">
        <v>1143</v>
      </c>
      <c r="C28" s="16" t="s">
        <v>1155</v>
      </c>
      <c r="D28" s="16" t="s">
        <v>1156</v>
      </c>
      <c r="E28" s="16" t="s">
        <v>1146</v>
      </c>
      <c r="F28" s="16" t="s">
        <v>1157</v>
      </c>
      <c r="G28" s="16" t="s">
        <v>1158</v>
      </c>
      <c r="H28" s="19" t="s">
        <v>6</v>
      </c>
      <c r="I28" s="16" t="s">
        <v>1149</v>
      </c>
      <c r="J28" s="16" t="s">
        <v>1159</v>
      </c>
      <c r="K28" s="19" t="s">
        <v>1151</v>
      </c>
      <c r="L28" s="16" t="s">
        <v>1160</v>
      </c>
      <c r="M28" s="16" t="s">
        <v>1153</v>
      </c>
      <c r="N28" s="16" t="s">
        <v>798</v>
      </c>
    </row>
    <row r="29" spans="1:14">
      <c r="A29" s="17" t="s">
        <v>1161</v>
      </c>
      <c r="B29" s="17" t="s">
        <v>1143</v>
      </c>
      <c r="C29" s="17" t="s">
        <v>1162</v>
      </c>
      <c r="D29" s="17" t="s">
        <v>1163</v>
      </c>
      <c r="E29" s="17" t="s">
        <v>1146</v>
      </c>
      <c r="F29" s="17" t="s">
        <v>1162</v>
      </c>
      <c r="G29" s="17" t="s">
        <v>1164</v>
      </c>
      <c r="H29" s="20" t="s">
        <v>6</v>
      </c>
      <c r="I29" s="17" t="s">
        <v>1149</v>
      </c>
      <c r="J29" s="17" t="s">
        <v>1165</v>
      </c>
      <c r="K29" s="20" t="s">
        <v>1151</v>
      </c>
      <c r="L29" s="17" t="s">
        <v>1166</v>
      </c>
      <c r="M29" s="17" t="s">
        <v>1167</v>
      </c>
      <c r="N29" s="17" t="s">
        <v>807</v>
      </c>
    </row>
  </sheetData>
  <mergeCells count="2">
    <mergeCell ref="A1:N1"/>
    <mergeCell ref="A2:N2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showGridLines="0" workbookViewId="0">
      <selection sqref="A1:J1"/>
    </sheetView>
  </sheetViews>
  <sheetFormatPr defaultRowHeight="13.5"/>
  <cols>
    <col min="1" max="1" width="14" customWidth="1"/>
    <col min="2" max="2" width="22" customWidth="1"/>
    <col min="3" max="3" width="48" customWidth="1"/>
    <col min="4" max="4" width="42" customWidth="1"/>
    <col min="5" max="5" width="25" customWidth="1"/>
    <col min="6" max="6" width="34.3125" customWidth="1"/>
    <col min="7" max="7" width="30" customWidth="1"/>
    <col min="8" max="8" width="28" customWidth="1"/>
    <col min="9" max="9" width="10" customWidth="1"/>
    <col min="10" max="10" width="12" customWidth="1"/>
  </cols>
  <sheetData>
    <row r="1" spans="1:10" ht="30" customHeight="1">
      <c r="A1" s="65" t="s">
        <v>1168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34.049999999999997" customHeight="1">
      <c r="A2" s="54" t="s">
        <v>1169</v>
      </c>
      <c r="B2" s="54" t="s">
        <v>1169</v>
      </c>
      <c r="C2" s="54" t="s">
        <v>1169</v>
      </c>
      <c r="D2" s="54" t="s">
        <v>1169</v>
      </c>
      <c r="E2" s="54" t="s">
        <v>1169</v>
      </c>
      <c r="F2" s="54" t="s">
        <v>1169</v>
      </c>
      <c r="G2" s="54" t="s">
        <v>1169</v>
      </c>
      <c r="H2" s="54" t="s">
        <v>1169</v>
      </c>
      <c r="I2" s="54" t="s">
        <v>1169</v>
      </c>
      <c r="J2" s="54" t="s">
        <v>1169</v>
      </c>
    </row>
    <row r="3" spans="1:10" ht="13.9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ht="38" customHeight="1">
      <c r="A4" s="32" t="s">
        <v>1170</v>
      </c>
      <c r="B4" s="33" t="s">
        <v>1171</v>
      </c>
      <c r="C4" s="33" t="s">
        <v>1172</v>
      </c>
      <c r="D4" s="33" t="s">
        <v>1173</v>
      </c>
      <c r="E4" s="33" t="s">
        <v>1174</v>
      </c>
      <c r="F4" s="33" t="s">
        <v>1175</v>
      </c>
      <c r="G4" s="33" t="s">
        <v>1176</v>
      </c>
      <c r="H4" s="33" t="s">
        <v>1177</v>
      </c>
      <c r="I4" s="33" t="s">
        <v>786</v>
      </c>
      <c r="J4" s="34" t="s">
        <v>1178</v>
      </c>
    </row>
    <row r="5" spans="1:10" ht="13.9">
      <c r="A5" s="35" t="s">
        <v>1179</v>
      </c>
      <c r="B5" s="35" t="s">
        <v>1180</v>
      </c>
      <c r="C5" s="35" t="s">
        <v>1181</v>
      </c>
      <c r="D5" s="35" t="s">
        <v>1182</v>
      </c>
      <c r="E5" s="35" t="s">
        <v>1183</v>
      </c>
      <c r="F5" s="35" t="s">
        <v>1184</v>
      </c>
      <c r="G5" s="35" t="s">
        <v>1185</v>
      </c>
      <c r="H5" s="35" t="s">
        <v>1186</v>
      </c>
      <c r="I5" s="36" t="s">
        <v>798</v>
      </c>
      <c r="J5" s="37" t="s">
        <v>1187</v>
      </c>
    </row>
    <row r="6" spans="1:10" ht="13.9">
      <c r="A6" s="38" t="s">
        <v>1188</v>
      </c>
      <c r="B6" s="38" t="s">
        <v>1189</v>
      </c>
      <c r="C6" s="38" t="s">
        <v>1190</v>
      </c>
      <c r="D6" s="38" t="s">
        <v>1191</v>
      </c>
      <c r="E6" s="38" t="s">
        <v>1192</v>
      </c>
      <c r="F6" s="38" t="s">
        <v>1193</v>
      </c>
      <c r="G6" s="38" t="s">
        <v>1194</v>
      </c>
      <c r="H6" s="38" t="s">
        <v>1195</v>
      </c>
      <c r="I6" s="39" t="s">
        <v>798</v>
      </c>
      <c r="J6" s="40" t="s">
        <v>1187</v>
      </c>
    </row>
    <row r="7" spans="1:10" ht="13.9">
      <c r="A7" s="38" t="s">
        <v>1196</v>
      </c>
      <c r="B7" s="38" t="s">
        <v>1197</v>
      </c>
      <c r="C7" s="38" t="s">
        <v>1198</v>
      </c>
      <c r="D7" s="38" t="s">
        <v>1199</v>
      </c>
      <c r="E7" s="38" t="s">
        <v>1200</v>
      </c>
      <c r="F7" s="38" t="s">
        <v>1201</v>
      </c>
      <c r="G7" s="38" t="s">
        <v>1202</v>
      </c>
      <c r="H7" s="38" t="s">
        <v>1203</v>
      </c>
      <c r="I7" s="39" t="s">
        <v>798</v>
      </c>
      <c r="J7" s="40" t="s">
        <v>1187</v>
      </c>
    </row>
    <row r="8" spans="1:10" ht="27.75">
      <c r="A8" s="38" t="s">
        <v>1204</v>
      </c>
      <c r="B8" s="38" t="s">
        <v>1205</v>
      </c>
      <c r="C8" s="38" t="s">
        <v>1206</v>
      </c>
      <c r="D8" s="38" t="s">
        <v>1207</v>
      </c>
      <c r="E8" s="38" t="s">
        <v>1208</v>
      </c>
      <c r="F8" s="38" t="s">
        <v>1209</v>
      </c>
      <c r="G8" s="38" t="s">
        <v>1210</v>
      </c>
      <c r="H8" s="38" t="s">
        <v>1211</v>
      </c>
      <c r="I8" s="39" t="s">
        <v>798</v>
      </c>
      <c r="J8" s="40" t="s">
        <v>1187</v>
      </c>
    </row>
    <row r="9" spans="1:10" ht="13.9">
      <c r="A9" s="38" t="s">
        <v>1212</v>
      </c>
      <c r="B9" s="38" t="s">
        <v>1213</v>
      </c>
      <c r="C9" s="38" t="s">
        <v>1214</v>
      </c>
      <c r="D9" s="38" t="s">
        <v>1215</v>
      </c>
      <c r="E9" s="38" t="s">
        <v>1216</v>
      </c>
      <c r="F9" s="38" t="s">
        <v>1217</v>
      </c>
      <c r="G9" s="38" t="s">
        <v>1218</v>
      </c>
      <c r="H9" s="38" t="s">
        <v>728</v>
      </c>
      <c r="I9" s="39" t="s">
        <v>798</v>
      </c>
      <c r="J9" s="40" t="s">
        <v>1187</v>
      </c>
    </row>
    <row r="10" spans="1:10" ht="27.75">
      <c r="A10" s="38" t="s">
        <v>1219</v>
      </c>
      <c r="B10" s="38" t="s">
        <v>1220</v>
      </c>
      <c r="C10" s="38" t="s">
        <v>1221</v>
      </c>
      <c r="D10" s="38" t="s">
        <v>1222</v>
      </c>
      <c r="E10" s="38" t="s">
        <v>1223</v>
      </c>
      <c r="F10" s="38" t="s">
        <v>1224</v>
      </c>
      <c r="G10" s="38" t="s">
        <v>1225</v>
      </c>
      <c r="H10" s="38" t="s">
        <v>1226</v>
      </c>
      <c r="I10" s="39" t="s">
        <v>798</v>
      </c>
      <c r="J10" s="40" t="s">
        <v>1187</v>
      </c>
    </row>
    <row r="11" spans="1:10" ht="13.9">
      <c r="A11" s="38" t="s">
        <v>1227</v>
      </c>
      <c r="B11" s="38" t="s">
        <v>1228</v>
      </c>
      <c r="C11" s="38" t="s">
        <v>1229</v>
      </c>
      <c r="D11" s="38" t="s">
        <v>1230</v>
      </c>
      <c r="E11" s="38" t="s">
        <v>1231</v>
      </c>
      <c r="F11" s="38" t="s">
        <v>1232</v>
      </c>
      <c r="G11" s="38" t="s">
        <v>1233</v>
      </c>
      <c r="H11" s="38" t="s">
        <v>1234</v>
      </c>
      <c r="I11" s="39" t="s">
        <v>798</v>
      </c>
      <c r="J11" s="40" t="s">
        <v>1187</v>
      </c>
    </row>
    <row r="12" spans="1:10" ht="13.9">
      <c r="A12" s="38" t="s">
        <v>1235</v>
      </c>
      <c r="B12" s="38" t="s">
        <v>1236</v>
      </c>
      <c r="C12" s="38" t="s">
        <v>1237</v>
      </c>
      <c r="D12" s="38" t="s">
        <v>1238</v>
      </c>
      <c r="E12" s="38" t="s">
        <v>1239</v>
      </c>
      <c r="F12" s="38" t="s">
        <v>1240</v>
      </c>
      <c r="G12" s="38" t="s">
        <v>1241</v>
      </c>
      <c r="H12" s="38" t="s">
        <v>1242</v>
      </c>
      <c r="I12" s="39" t="s">
        <v>807</v>
      </c>
      <c r="J12" s="40" t="s">
        <v>1187</v>
      </c>
    </row>
    <row r="13" spans="1:10" ht="13.9">
      <c r="A13" s="38" t="s">
        <v>1243</v>
      </c>
      <c r="B13" s="38" t="s">
        <v>1244</v>
      </c>
      <c r="C13" s="38" t="s">
        <v>1245</v>
      </c>
      <c r="D13" s="38" t="s">
        <v>1246</v>
      </c>
      <c r="E13" s="38" t="s">
        <v>1247</v>
      </c>
      <c r="F13" s="38" t="s">
        <v>1248</v>
      </c>
      <c r="G13" s="38" t="s">
        <v>1249</v>
      </c>
      <c r="H13" s="38" t="s">
        <v>1250</v>
      </c>
      <c r="I13" s="39" t="s">
        <v>798</v>
      </c>
      <c r="J13" s="40" t="s">
        <v>1187</v>
      </c>
    </row>
    <row r="14" spans="1:10" ht="13.9">
      <c r="A14" s="38" t="s">
        <v>1251</v>
      </c>
      <c r="B14" s="38" t="s">
        <v>1252</v>
      </c>
      <c r="C14" s="38" t="s">
        <v>1253</v>
      </c>
      <c r="D14" s="38" t="s">
        <v>1254</v>
      </c>
      <c r="E14" s="38" t="s">
        <v>1255</v>
      </c>
      <c r="F14" s="38" t="s">
        <v>1256</v>
      </c>
      <c r="G14" s="38" t="s">
        <v>1257</v>
      </c>
      <c r="H14" s="38" t="s">
        <v>1258</v>
      </c>
      <c r="I14" s="39" t="s">
        <v>798</v>
      </c>
      <c r="J14" s="40" t="s">
        <v>1187</v>
      </c>
    </row>
    <row r="15" spans="1:10" ht="13.9">
      <c r="A15" s="38" t="s">
        <v>1259</v>
      </c>
      <c r="B15" s="38" t="s">
        <v>1260</v>
      </c>
      <c r="C15" s="38" t="s">
        <v>1261</v>
      </c>
      <c r="D15" s="38" t="s">
        <v>1262</v>
      </c>
      <c r="E15" s="38" t="s">
        <v>1263</v>
      </c>
      <c r="F15" s="38" t="s">
        <v>1264</v>
      </c>
      <c r="G15" s="38" t="s">
        <v>1265</v>
      </c>
      <c r="H15" s="38" t="s">
        <v>1266</v>
      </c>
      <c r="I15" s="39" t="s">
        <v>798</v>
      </c>
      <c r="J15" s="40" t="s">
        <v>1187</v>
      </c>
    </row>
    <row r="16" spans="1:10" ht="13.9">
      <c r="A16" s="38" t="s">
        <v>1267</v>
      </c>
      <c r="B16" s="38" t="s">
        <v>1268</v>
      </c>
      <c r="C16" s="38" t="s">
        <v>1269</v>
      </c>
      <c r="D16" s="38" t="s">
        <v>1270</v>
      </c>
      <c r="E16" s="38" t="s">
        <v>1271</v>
      </c>
      <c r="F16" s="38" t="s">
        <v>1272</v>
      </c>
      <c r="G16" s="38" t="s">
        <v>1088</v>
      </c>
      <c r="H16" s="38" t="s">
        <v>1273</v>
      </c>
      <c r="I16" s="39" t="s">
        <v>807</v>
      </c>
      <c r="J16" s="40" t="s">
        <v>1187</v>
      </c>
    </row>
    <row r="17" spans="1:10" ht="27.75">
      <c r="A17" s="38" t="s">
        <v>1274</v>
      </c>
      <c r="B17" s="38" t="s">
        <v>1275</v>
      </c>
      <c r="C17" s="38" t="s">
        <v>1276</v>
      </c>
      <c r="D17" s="38" t="s">
        <v>1277</v>
      </c>
      <c r="E17" s="38" t="s">
        <v>1278</v>
      </c>
      <c r="F17" s="38" t="s">
        <v>1279</v>
      </c>
      <c r="G17" s="38" t="s">
        <v>1280</v>
      </c>
      <c r="H17" s="38" t="s">
        <v>1281</v>
      </c>
      <c r="I17" s="39" t="s">
        <v>798</v>
      </c>
      <c r="J17" s="40" t="s">
        <v>1187</v>
      </c>
    </row>
    <row r="18" spans="1:10" ht="13.9">
      <c r="A18" s="38" t="s">
        <v>1282</v>
      </c>
      <c r="B18" s="38" t="s">
        <v>1283</v>
      </c>
      <c r="C18" s="38" t="s">
        <v>1284</v>
      </c>
      <c r="D18" s="38" t="s">
        <v>1285</v>
      </c>
      <c r="E18" s="38" t="s">
        <v>1286</v>
      </c>
      <c r="F18" s="38" t="s">
        <v>1287</v>
      </c>
      <c r="G18" s="38" t="s">
        <v>1288</v>
      </c>
      <c r="H18" s="38" t="s">
        <v>1289</v>
      </c>
      <c r="I18" s="39" t="s">
        <v>798</v>
      </c>
      <c r="J18" s="40" t="s">
        <v>1187</v>
      </c>
    </row>
    <row r="19" spans="1:10" ht="27.75">
      <c r="A19" s="38" t="s">
        <v>1290</v>
      </c>
      <c r="B19" s="38" t="s">
        <v>1291</v>
      </c>
      <c r="C19" s="38" t="s">
        <v>1292</v>
      </c>
      <c r="D19" s="38" t="s">
        <v>1293</v>
      </c>
      <c r="E19" s="38" t="s">
        <v>1294</v>
      </c>
      <c r="F19" s="38" t="s">
        <v>1295</v>
      </c>
      <c r="G19" s="38" t="s">
        <v>1296</v>
      </c>
      <c r="H19" s="38" t="s">
        <v>1297</v>
      </c>
      <c r="I19" s="39" t="s">
        <v>798</v>
      </c>
      <c r="J19" s="40" t="s">
        <v>1187</v>
      </c>
    </row>
    <row r="20" spans="1:10" ht="27.75">
      <c r="A20" s="41" t="s">
        <v>1298</v>
      </c>
      <c r="B20" s="41" t="s">
        <v>1299</v>
      </c>
      <c r="C20" s="41" t="s">
        <v>1300</v>
      </c>
      <c r="D20" s="41" t="s">
        <v>1301</v>
      </c>
      <c r="E20" s="41" t="s">
        <v>1302</v>
      </c>
      <c r="F20" s="41" t="s">
        <v>1303</v>
      </c>
      <c r="G20" s="41" t="s">
        <v>1304</v>
      </c>
      <c r="H20" s="41" t="s">
        <v>1305</v>
      </c>
      <c r="I20" s="42" t="s">
        <v>798</v>
      </c>
      <c r="J20" s="43" t="s">
        <v>1187</v>
      </c>
    </row>
    <row r="21" spans="1:10" ht="52.05" customHeight="1">
      <c r="A21" s="44" t="s">
        <v>1306</v>
      </c>
      <c r="B21" s="44" t="s">
        <v>1307</v>
      </c>
      <c r="C21" s="44" t="s">
        <v>1308</v>
      </c>
      <c r="D21" s="44" t="s">
        <v>1309</v>
      </c>
      <c r="E21" s="44" t="s">
        <v>1310</v>
      </c>
      <c r="F21" s="44" t="s">
        <v>1311</v>
      </c>
      <c r="G21" s="44" t="s">
        <v>1312</v>
      </c>
      <c r="H21" s="44" t="s">
        <v>1313</v>
      </c>
      <c r="I21" s="45" t="s">
        <v>798</v>
      </c>
      <c r="J21" s="44" t="s">
        <v>1187</v>
      </c>
    </row>
    <row r="22" spans="1:10" ht="52.05" customHeight="1">
      <c r="A22" s="46" t="s">
        <v>1314</v>
      </c>
      <c r="B22" s="46" t="s">
        <v>1315</v>
      </c>
      <c r="C22" s="46" t="s">
        <v>1316</v>
      </c>
      <c r="D22" s="46" t="s">
        <v>1317</v>
      </c>
      <c r="E22" s="46" t="s">
        <v>1318</v>
      </c>
      <c r="F22" s="46" t="s">
        <v>1319</v>
      </c>
      <c r="G22" s="46" t="s">
        <v>1320</v>
      </c>
      <c r="H22" s="46" t="s">
        <v>1321</v>
      </c>
      <c r="I22" s="45" t="s">
        <v>798</v>
      </c>
      <c r="J22" s="46" t="s">
        <v>1187</v>
      </c>
    </row>
    <row r="23" spans="1:10" ht="52.05" customHeight="1">
      <c r="A23" s="44" t="s">
        <v>1322</v>
      </c>
      <c r="B23" s="44" t="s">
        <v>1323</v>
      </c>
      <c r="C23" s="44" t="s">
        <v>1324</v>
      </c>
      <c r="D23" s="44" t="s">
        <v>1325</v>
      </c>
      <c r="E23" s="44" t="s">
        <v>1326</v>
      </c>
      <c r="F23" s="44" t="s">
        <v>1327</v>
      </c>
      <c r="G23" s="44" t="s">
        <v>1328</v>
      </c>
      <c r="H23" s="44" t="s">
        <v>1329</v>
      </c>
      <c r="I23" s="45" t="s">
        <v>798</v>
      </c>
      <c r="J23" s="44" t="s">
        <v>1187</v>
      </c>
    </row>
    <row r="24" spans="1:10" ht="52.05" customHeight="1">
      <c r="A24" s="46" t="s">
        <v>1330</v>
      </c>
      <c r="B24" s="46" t="s">
        <v>1331</v>
      </c>
      <c r="C24" s="46" t="s">
        <v>1332</v>
      </c>
      <c r="D24" s="46" t="s">
        <v>1333</v>
      </c>
      <c r="E24" s="46" t="s">
        <v>1334</v>
      </c>
      <c r="F24" s="46" t="s">
        <v>1335</v>
      </c>
      <c r="G24" s="46" t="s">
        <v>1336</v>
      </c>
      <c r="H24" s="46" t="s">
        <v>1337</v>
      </c>
      <c r="I24" s="45" t="s">
        <v>798</v>
      </c>
      <c r="J24" s="46" t="s">
        <v>1187</v>
      </c>
    </row>
    <row r="25" spans="1:10" ht="52.05" customHeight="1">
      <c r="A25" s="44" t="s">
        <v>1338</v>
      </c>
      <c r="B25" s="44" t="s">
        <v>1339</v>
      </c>
      <c r="C25" s="44" t="s">
        <v>1340</v>
      </c>
      <c r="D25" s="44" t="s">
        <v>1341</v>
      </c>
      <c r="E25" s="44" t="s">
        <v>1342</v>
      </c>
      <c r="F25" s="44" t="s">
        <v>1343</v>
      </c>
      <c r="G25" s="44" t="s">
        <v>1344</v>
      </c>
      <c r="H25" s="44" t="s">
        <v>1345</v>
      </c>
      <c r="I25" s="45" t="s">
        <v>798</v>
      </c>
      <c r="J25" s="44" t="s">
        <v>1187</v>
      </c>
    </row>
    <row r="26" spans="1:10" ht="52.05" customHeight="1">
      <c r="A26" s="46" t="s">
        <v>1346</v>
      </c>
      <c r="B26" s="46" t="s">
        <v>1347</v>
      </c>
      <c r="C26" s="46" t="s">
        <v>1348</v>
      </c>
      <c r="D26" s="46" t="s">
        <v>1349</v>
      </c>
      <c r="E26" s="46" t="s">
        <v>1350</v>
      </c>
      <c r="F26" s="46" t="s">
        <v>1351</v>
      </c>
      <c r="G26" s="46" t="s">
        <v>1352</v>
      </c>
      <c r="H26" s="46" t="s">
        <v>1353</v>
      </c>
      <c r="I26" s="45" t="s">
        <v>798</v>
      </c>
      <c r="J26" s="46" t="s">
        <v>1187</v>
      </c>
    </row>
    <row r="27" spans="1:10" ht="52.05" customHeight="1">
      <c r="A27" s="44" t="s">
        <v>1354</v>
      </c>
      <c r="B27" s="44" t="s">
        <v>1355</v>
      </c>
      <c r="C27" s="44" t="s">
        <v>1356</v>
      </c>
      <c r="D27" s="44" t="s">
        <v>1357</v>
      </c>
      <c r="E27" s="44" t="s">
        <v>1358</v>
      </c>
      <c r="F27" s="44" t="s">
        <v>1359</v>
      </c>
      <c r="G27" s="44" t="s">
        <v>1360</v>
      </c>
      <c r="H27" s="44" t="s">
        <v>1361</v>
      </c>
      <c r="I27" s="45" t="s">
        <v>807</v>
      </c>
      <c r="J27" s="44" t="s">
        <v>1187</v>
      </c>
    </row>
    <row r="28" spans="1:10" ht="52.05" customHeight="1">
      <c r="A28" s="46" t="s">
        <v>1362</v>
      </c>
      <c r="B28" s="46" t="s">
        <v>1363</v>
      </c>
      <c r="C28" s="46" t="s">
        <v>1364</v>
      </c>
      <c r="D28" s="46" t="s">
        <v>1365</v>
      </c>
      <c r="E28" s="46" t="s">
        <v>1366</v>
      </c>
      <c r="F28" s="46" t="s">
        <v>1367</v>
      </c>
      <c r="G28" s="46" t="s">
        <v>1368</v>
      </c>
      <c r="H28" s="46" t="s">
        <v>1369</v>
      </c>
      <c r="I28" s="45" t="s">
        <v>807</v>
      </c>
      <c r="J28" s="46" t="s">
        <v>1187</v>
      </c>
    </row>
    <row r="29" spans="1:10" ht="52.05" customHeight="1">
      <c r="A29" s="44" t="s">
        <v>1370</v>
      </c>
      <c r="B29" s="44" t="s">
        <v>1371</v>
      </c>
      <c r="C29" s="44" t="s">
        <v>1372</v>
      </c>
      <c r="D29" s="44" t="s">
        <v>1373</v>
      </c>
      <c r="E29" s="44" t="s">
        <v>1374</v>
      </c>
      <c r="F29" s="44" t="s">
        <v>1375</v>
      </c>
      <c r="G29" s="44" t="s">
        <v>1376</v>
      </c>
      <c r="H29" s="44" t="s">
        <v>1377</v>
      </c>
      <c r="I29" s="45" t="s">
        <v>798</v>
      </c>
      <c r="J29" s="44" t="s">
        <v>1187</v>
      </c>
    </row>
    <row r="30" spans="1:10" ht="52.05" customHeight="1">
      <c r="A30" s="46" t="s">
        <v>1378</v>
      </c>
      <c r="B30" s="46" t="s">
        <v>1379</v>
      </c>
      <c r="C30" s="46" t="s">
        <v>1380</v>
      </c>
      <c r="D30" s="46" t="s">
        <v>1381</v>
      </c>
      <c r="E30" s="46" t="s">
        <v>1382</v>
      </c>
      <c r="F30" s="46" t="s">
        <v>1383</v>
      </c>
      <c r="G30" s="46" t="s">
        <v>1384</v>
      </c>
      <c r="H30" s="46" t="s">
        <v>1385</v>
      </c>
      <c r="I30" s="45" t="s">
        <v>798</v>
      </c>
      <c r="J30" s="46" t="s">
        <v>1187</v>
      </c>
    </row>
    <row r="31" spans="1:10" ht="52.05" customHeight="1">
      <c r="A31" s="44" t="s">
        <v>1386</v>
      </c>
      <c r="B31" s="44" t="s">
        <v>1387</v>
      </c>
      <c r="C31" s="44" t="s">
        <v>1388</v>
      </c>
      <c r="D31" s="44" t="s">
        <v>1389</v>
      </c>
      <c r="E31" s="44" t="s">
        <v>1390</v>
      </c>
      <c r="F31" s="44" t="s">
        <v>1391</v>
      </c>
      <c r="G31" s="44" t="s">
        <v>1392</v>
      </c>
      <c r="H31" s="44" t="s">
        <v>1393</v>
      </c>
      <c r="I31" s="45" t="s">
        <v>798</v>
      </c>
      <c r="J31" s="44" t="s">
        <v>1187</v>
      </c>
    </row>
    <row r="32" spans="1:10" ht="52.05" customHeight="1">
      <c r="A32" s="46" t="s">
        <v>1394</v>
      </c>
      <c r="B32" s="46" t="s">
        <v>1395</v>
      </c>
      <c r="C32" s="46" t="s">
        <v>1396</v>
      </c>
      <c r="D32" s="46" t="s">
        <v>1397</v>
      </c>
      <c r="E32" s="46" t="s">
        <v>1398</v>
      </c>
      <c r="F32" s="46" t="s">
        <v>1399</v>
      </c>
      <c r="G32" s="46" t="s">
        <v>1400</v>
      </c>
      <c r="H32" s="46" t="s">
        <v>1401</v>
      </c>
      <c r="I32" s="45" t="s">
        <v>807</v>
      </c>
      <c r="J32" s="46" t="s">
        <v>1187</v>
      </c>
    </row>
  </sheetData>
  <mergeCells count="2">
    <mergeCell ref="A1:J1"/>
    <mergeCell ref="A2:J2"/>
  </mergeCells>
  <phoneticPr fontId="13" type="noConversion"/>
  <dataValidations count="2">
    <dataValidation type="list" sqref="I21:I32" xr:uid="{00000000-0002-0000-0600-000000000000}">
      <formula1>"P0,P1,P2"</formula1>
    </dataValidation>
    <dataValidation type="list" sqref="J21:J32" xr:uid="{00000000-0002-0000-0600-000001000000}">
      <formula1>"未发起,沟通中,已获取,不可获取,用公开替代"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showGridLines="0" workbookViewId="0">
      <selection sqref="A1:J1"/>
    </sheetView>
  </sheetViews>
  <sheetFormatPr defaultRowHeight="13.5"/>
  <cols>
    <col min="1" max="1" width="12" customWidth="1"/>
    <col min="2" max="2" width="15" customWidth="1"/>
    <col min="3" max="3" width="35" customWidth="1"/>
    <col min="4" max="4" width="25" customWidth="1"/>
    <col min="5" max="5" width="37" customWidth="1"/>
    <col min="6" max="6" width="35" customWidth="1"/>
    <col min="7" max="7" width="26" customWidth="1"/>
    <col min="8" max="8" width="52" customWidth="1"/>
    <col min="9" max="9" width="28" customWidth="1"/>
    <col min="10" max="10" width="22" customWidth="1"/>
  </cols>
  <sheetData>
    <row r="1" spans="1:10" ht="30" customHeight="1">
      <c r="A1" s="62" t="s">
        <v>1402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36" customHeight="1">
      <c r="A2" s="63" t="s">
        <v>1403</v>
      </c>
      <c r="B2" s="63"/>
      <c r="C2" s="63"/>
      <c r="D2" s="63"/>
      <c r="E2" s="63"/>
      <c r="F2" s="63"/>
      <c r="G2" s="63"/>
      <c r="H2" s="63"/>
      <c r="I2" s="63"/>
      <c r="J2" s="63"/>
    </row>
    <row r="3" spans="1:10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ht="38" customHeight="1">
      <c r="A4" s="28" t="s">
        <v>1404</v>
      </c>
      <c r="B4" s="29" t="s">
        <v>1405</v>
      </c>
      <c r="C4" s="29" t="s">
        <v>1406</v>
      </c>
      <c r="D4" s="29" t="s">
        <v>1407</v>
      </c>
      <c r="E4" s="29" t="s">
        <v>1408</v>
      </c>
      <c r="F4" s="29" t="s">
        <v>1409</v>
      </c>
      <c r="G4" s="29" t="s">
        <v>1410</v>
      </c>
      <c r="H4" s="29" t="s">
        <v>1411</v>
      </c>
      <c r="I4" s="29" t="s">
        <v>1412</v>
      </c>
      <c r="J4" s="30" t="s">
        <v>1413</v>
      </c>
    </row>
    <row r="5" spans="1:10">
      <c r="A5" s="15" t="s">
        <v>1414</v>
      </c>
      <c r="B5" s="15" t="s">
        <v>1415</v>
      </c>
      <c r="C5" s="15" t="s">
        <v>952</v>
      </c>
      <c r="D5" s="15" t="s">
        <v>1416</v>
      </c>
      <c r="E5" s="15" t="s">
        <v>1417</v>
      </c>
      <c r="F5" s="15" t="s">
        <v>1418</v>
      </c>
      <c r="G5" s="18" t="s">
        <v>1419</v>
      </c>
      <c r="H5" s="15" t="s">
        <v>953</v>
      </c>
      <c r="I5" s="15" t="s">
        <v>1420</v>
      </c>
      <c r="J5" s="15" t="s">
        <v>1421</v>
      </c>
    </row>
    <row r="6" spans="1:10" ht="25.5">
      <c r="A6" s="16" t="s">
        <v>1422</v>
      </c>
      <c r="B6" s="16" t="s">
        <v>1415</v>
      </c>
      <c r="C6" s="16" t="s">
        <v>1423</v>
      </c>
      <c r="D6" s="16" t="s">
        <v>1424</v>
      </c>
      <c r="E6" s="16" t="s">
        <v>1425</v>
      </c>
      <c r="F6" s="16" t="s">
        <v>1426</v>
      </c>
      <c r="G6" s="19" t="s">
        <v>1427</v>
      </c>
      <c r="H6" s="16" t="s">
        <v>964</v>
      </c>
      <c r="I6" s="16" t="s">
        <v>1428</v>
      </c>
      <c r="J6" s="16" t="s">
        <v>1429</v>
      </c>
    </row>
    <row r="7" spans="1:10" ht="25.5">
      <c r="A7" s="16" t="s">
        <v>1430</v>
      </c>
      <c r="B7" s="16" t="s">
        <v>1415</v>
      </c>
      <c r="C7" s="16" t="s">
        <v>1431</v>
      </c>
      <c r="D7" s="16" t="s">
        <v>1432</v>
      </c>
      <c r="E7" s="16" t="s">
        <v>1433</v>
      </c>
      <c r="F7" s="16" t="s">
        <v>1434</v>
      </c>
      <c r="G7" s="19" t="s">
        <v>1435</v>
      </c>
      <c r="H7" s="16" t="s">
        <v>1436</v>
      </c>
      <c r="I7" s="16" t="s">
        <v>1437</v>
      </c>
      <c r="J7" s="16" t="s">
        <v>1429</v>
      </c>
    </row>
    <row r="8" spans="1:10" ht="25.5">
      <c r="A8" s="16" t="s">
        <v>1438</v>
      </c>
      <c r="B8" s="16" t="s">
        <v>1415</v>
      </c>
      <c r="C8" s="16" t="s">
        <v>1439</v>
      </c>
      <c r="D8" s="16" t="s">
        <v>1440</v>
      </c>
      <c r="E8" s="16" t="s">
        <v>1441</v>
      </c>
      <c r="F8" s="16" t="s">
        <v>1442</v>
      </c>
      <c r="G8" s="19" t="s">
        <v>1443</v>
      </c>
      <c r="H8" s="16" t="s">
        <v>1444</v>
      </c>
      <c r="I8" s="16" t="s">
        <v>1445</v>
      </c>
      <c r="J8" s="16" t="s">
        <v>1446</v>
      </c>
    </row>
    <row r="9" spans="1:10" ht="25.5">
      <c r="A9" s="16" t="s">
        <v>1447</v>
      </c>
      <c r="B9" s="16" t="s">
        <v>1415</v>
      </c>
      <c r="C9" s="16" t="s">
        <v>1448</v>
      </c>
      <c r="D9" s="16" t="s">
        <v>1440</v>
      </c>
      <c r="E9" s="16" t="s">
        <v>1449</v>
      </c>
      <c r="F9" s="16" t="s">
        <v>1450</v>
      </c>
      <c r="G9" s="19" t="s">
        <v>1451</v>
      </c>
      <c r="H9" s="16" t="s">
        <v>1032</v>
      </c>
      <c r="I9" s="16" t="s">
        <v>1452</v>
      </c>
      <c r="J9" s="16" t="s">
        <v>1446</v>
      </c>
    </row>
    <row r="10" spans="1:10" ht="25.5">
      <c r="A10" s="16" t="s">
        <v>1453</v>
      </c>
      <c r="B10" s="16" t="s">
        <v>1415</v>
      </c>
      <c r="C10" s="16" t="s">
        <v>1454</v>
      </c>
      <c r="D10" s="16" t="s">
        <v>1440</v>
      </c>
      <c r="E10" s="16" t="s">
        <v>1455</v>
      </c>
      <c r="F10" s="16" t="s">
        <v>1456</v>
      </c>
      <c r="G10" s="19" t="s">
        <v>1451</v>
      </c>
      <c r="H10" s="16" t="s">
        <v>1457</v>
      </c>
      <c r="I10" s="16" t="s">
        <v>1458</v>
      </c>
      <c r="J10" s="16" t="s">
        <v>1446</v>
      </c>
    </row>
    <row r="11" spans="1:10" ht="25.5">
      <c r="A11" s="16" t="s">
        <v>1459</v>
      </c>
      <c r="B11" s="16" t="s">
        <v>1415</v>
      </c>
      <c r="C11" s="16" t="s">
        <v>1460</v>
      </c>
      <c r="D11" s="16" t="s">
        <v>1440</v>
      </c>
      <c r="E11" s="16" t="s">
        <v>1461</v>
      </c>
      <c r="F11" s="16" t="s">
        <v>1462</v>
      </c>
      <c r="G11" s="19" t="s">
        <v>1451</v>
      </c>
      <c r="H11" s="16" t="s">
        <v>1463</v>
      </c>
      <c r="I11" s="16" t="s">
        <v>1464</v>
      </c>
      <c r="J11" s="16" t="s">
        <v>1446</v>
      </c>
    </row>
    <row r="12" spans="1:10" ht="25.5">
      <c r="A12" s="16" t="s">
        <v>1465</v>
      </c>
      <c r="B12" s="16" t="s">
        <v>1415</v>
      </c>
      <c r="C12" s="16" t="s">
        <v>1466</v>
      </c>
      <c r="D12" s="16" t="s">
        <v>1416</v>
      </c>
      <c r="E12" s="16" t="s">
        <v>1467</v>
      </c>
      <c r="F12" s="16" t="s">
        <v>1468</v>
      </c>
      <c r="G12" s="19" t="s">
        <v>1469</v>
      </c>
      <c r="H12" s="16" t="s">
        <v>1017</v>
      </c>
      <c r="I12" s="16" t="s">
        <v>1470</v>
      </c>
      <c r="J12" s="16" t="s">
        <v>1421</v>
      </c>
    </row>
    <row r="13" spans="1:10" ht="25.5">
      <c r="A13" s="16" t="s">
        <v>1471</v>
      </c>
      <c r="B13" s="16" t="s">
        <v>1415</v>
      </c>
      <c r="C13" s="16" t="s">
        <v>1472</v>
      </c>
      <c r="D13" s="16" t="s">
        <v>1473</v>
      </c>
      <c r="E13" s="16" t="s">
        <v>1474</v>
      </c>
      <c r="F13" s="16" t="s">
        <v>1475</v>
      </c>
      <c r="G13" s="19" t="s">
        <v>1451</v>
      </c>
      <c r="H13" s="16" t="s">
        <v>1060</v>
      </c>
      <c r="I13" s="16" t="s">
        <v>1476</v>
      </c>
      <c r="J13" s="16" t="s">
        <v>1429</v>
      </c>
    </row>
    <row r="14" spans="1:10" ht="25.5">
      <c r="A14" s="16" t="s">
        <v>1477</v>
      </c>
      <c r="B14" s="16" t="s">
        <v>1415</v>
      </c>
      <c r="C14" s="16" t="s">
        <v>1478</v>
      </c>
      <c r="D14" s="16" t="s">
        <v>1416</v>
      </c>
      <c r="E14" s="16" t="s">
        <v>1479</v>
      </c>
      <c r="F14" s="16" t="s">
        <v>1480</v>
      </c>
      <c r="G14" s="19" t="s">
        <v>1481</v>
      </c>
      <c r="H14" s="16" t="s">
        <v>1482</v>
      </c>
      <c r="I14" s="16" t="s">
        <v>1483</v>
      </c>
      <c r="J14" s="16" t="s">
        <v>1421</v>
      </c>
    </row>
    <row r="15" spans="1:10" ht="25.5">
      <c r="A15" s="16" t="s">
        <v>1484</v>
      </c>
      <c r="B15" s="16" t="s">
        <v>1485</v>
      </c>
      <c r="C15" s="16" t="s">
        <v>710</v>
      </c>
      <c r="D15" s="16" t="s">
        <v>1486</v>
      </c>
      <c r="E15" s="16" t="s">
        <v>1487</v>
      </c>
      <c r="F15" s="16" t="s">
        <v>1488</v>
      </c>
      <c r="G15" s="19" t="s">
        <v>1489</v>
      </c>
      <c r="H15" s="16" t="s">
        <v>717</v>
      </c>
      <c r="I15" s="16" t="s">
        <v>1490</v>
      </c>
      <c r="J15" s="16" t="s">
        <v>1491</v>
      </c>
    </row>
    <row r="16" spans="1:10" ht="25.5">
      <c r="A16" s="16" t="s">
        <v>1492</v>
      </c>
      <c r="B16" s="16" t="s">
        <v>1485</v>
      </c>
      <c r="C16" s="16" t="s">
        <v>995</v>
      </c>
      <c r="D16" s="16" t="s">
        <v>998</v>
      </c>
      <c r="E16" s="16" t="s">
        <v>1493</v>
      </c>
      <c r="F16" s="16" t="s">
        <v>1494</v>
      </c>
      <c r="G16" s="19" t="s">
        <v>1489</v>
      </c>
      <c r="H16" s="16" t="s">
        <v>727</v>
      </c>
      <c r="I16" s="16" t="s">
        <v>1495</v>
      </c>
      <c r="J16" s="16" t="s">
        <v>1496</v>
      </c>
    </row>
    <row r="17" spans="1:10" ht="25.5">
      <c r="A17" s="16" t="s">
        <v>1497</v>
      </c>
      <c r="B17" s="16" t="s">
        <v>1485</v>
      </c>
      <c r="C17" s="16" t="s">
        <v>1498</v>
      </c>
      <c r="D17" s="16" t="s">
        <v>1499</v>
      </c>
      <c r="E17" s="16" t="s">
        <v>1500</v>
      </c>
      <c r="F17" s="16" t="s">
        <v>1501</v>
      </c>
      <c r="G17" s="19" t="s">
        <v>1489</v>
      </c>
      <c r="H17" s="16" t="s">
        <v>736</v>
      </c>
      <c r="I17" s="16" t="s">
        <v>1039</v>
      </c>
      <c r="J17" s="16" t="s">
        <v>1502</v>
      </c>
    </row>
    <row r="18" spans="1:10" ht="25.5">
      <c r="A18" s="16" t="s">
        <v>1503</v>
      </c>
      <c r="B18" s="16" t="s">
        <v>1485</v>
      </c>
      <c r="C18" s="16" t="s">
        <v>1504</v>
      </c>
      <c r="D18" s="16" t="s">
        <v>1505</v>
      </c>
      <c r="E18" s="16" t="s">
        <v>1506</v>
      </c>
      <c r="F18" s="16" t="s">
        <v>1507</v>
      </c>
      <c r="G18" s="19" t="s">
        <v>1489</v>
      </c>
      <c r="H18" s="16" t="s">
        <v>745</v>
      </c>
      <c r="I18" s="16" t="s">
        <v>1508</v>
      </c>
      <c r="J18" s="16" t="s">
        <v>1509</v>
      </c>
    </row>
    <row r="19" spans="1:10">
      <c r="A19" s="16" t="s">
        <v>1510</v>
      </c>
      <c r="B19" s="16" t="s">
        <v>1511</v>
      </c>
      <c r="C19" s="16" t="s">
        <v>1512</v>
      </c>
      <c r="D19" s="16" t="s">
        <v>748</v>
      </c>
      <c r="E19" s="16" t="s">
        <v>1513</v>
      </c>
      <c r="F19" s="16" t="s">
        <v>1514</v>
      </c>
      <c r="G19" s="19" t="s">
        <v>1515</v>
      </c>
      <c r="H19" s="16" t="s">
        <v>754</v>
      </c>
      <c r="I19" s="16" t="s">
        <v>1048</v>
      </c>
      <c r="J19" s="16" t="s">
        <v>1516</v>
      </c>
    </row>
    <row r="20" spans="1:10">
      <c r="A20" s="16" t="s">
        <v>1517</v>
      </c>
      <c r="B20" s="16" t="s">
        <v>1485</v>
      </c>
      <c r="C20" s="16" t="s">
        <v>1091</v>
      </c>
      <c r="D20" s="16" t="s">
        <v>1518</v>
      </c>
      <c r="E20" s="16" t="s">
        <v>1519</v>
      </c>
      <c r="F20" s="16" t="s">
        <v>1520</v>
      </c>
      <c r="G20" s="19" t="s">
        <v>1521</v>
      </c>
      <c r="H20" s="16" t="s">
        <v>763</v>
      </c>
      <c r="I20" s="16" t="s">
        <v>1522</v>
      </c>
      <c r="J20" s="16" t="s">
        <v>1098</v>
      </c>
    </row>
    <row r="21" spans="1:10" ht="25.5">
      <c r="A21" s="16" t="s">
        <v>1523</v>
      </c>
      <c r="B21" s="16" t="s">
        <v>1146</v>
      </c>
      <c r="C21" s="16" t="s">
        <v>1524</v>
      </c>
      <c r="D21" s="16" t="s">
        <v>1525</v>
      </c>
      <c r="E21" s="16" t="s">
        <v>1526</v>
      </c>
      <c r="F21" s="16" t="s">
        <v>1527</v>
      </c>
      <c r="G21" s="19" t="s">
        <v>1528</v>
      </c>
      <c r="H21" s="16" t="s">
        <v>1148</v>
      </c>
      <c r="I21" s="16" t="s">
        <v>1529</v>
      </c>
      <c r="J21" s="16" t="s">
        <v>1530</v>
      </c>
    </row>
    <row r="22" spans="1:10">
      <c r="A22" s="16" t="s">
        <v>1531</v>
      </c>
      <c r="B22" s="16" t="s">
        <v>1146</v>
      </c>
      <c r="C22" s="16" t="s">
        <v>1157</v>
      </c>
      <c r="D22" s="16" t="s">
        <v>1155</v>
      </c>
      <c r="E22" s="16" t="s">
        <v>1532</v>
      </c>
      <c r="F22" s="16" t="s">
        <v>1533</v>
      </c>
      <c r="G22" s="19" t="s">
        <v>1528</v>
      </c>
      <c r="H22" s="16" t="s">
        <v>1158</v>
      </c>
      <c r="I22" s="16" t="s">
        <v>1534</v>
      </c>
      <c r="J22" s="16" t="s">
        <v>1530</v>
      </c>
    </row>
    <row r="23" spans="1:10">
      <c r="A23" s="16" t="s">
        <v>1535</v>
      </c>
      <c r="B23" s="16" t="s">
        <v>1146</v>
      </c>
      <c r="C23" s="16" t="s">
        <v>1162</v>
      </c>
      <c r="D23" s="16" t="s">
        <v>1536</v>
      </c>
      <c r="E23" s="16" t="s">
        <v>1537</v>
      </c>
      <c r="F23" s="16" t="s">
        <v>1538</v>
      </c>
      <c r="G23" s="19" t="s">
        <v>1528</v>
      </c>
      <c r="H23" s="16" t="s">
        <v>1164</v>
      </c>
      <c r="I23" s="16" t="s">
        <v>1539</v>
      </c>
      <c r="J23" s="16" t="s">
        <v>1167</v>
      </c>
    </row>
    <row r="24" spans="1:10">
      <c r="A24" s="17" t="s">
        <v>1540</v>
      </c>
      <c r="B24" s="17" t="s">
        <v>1146</v>
      </c>
      <c r="C24" s="17" t="s">
        <v>1541</v>
      </c>
      <c r="D24" s="17" t="s">
        <v>1542</v>
      </c>
      <c r="E24" s="17" t="s">
        <v>1543</v>
      </c>
      <c r="F24" s="17" t="s">
        <v>1544</v>
      </c>
      <c r="G24" s="20" t="s">
        <v>1545</v>
      </c>
      <c r="H24" s="17" t="s">
        <v>1546</v>
      </c>
      <c r="I24" s="17" t="s">
        <v>1547</v>
      </c>
      <c r="J24" s="17" t="s">
        <v>1548</v>
      </c>
    </row>
  </sheetData>
  <mergeCells count="2">
    <mergeCell ref="A1:J1"/>
    <mergeCell ref="A2:J2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showGridLines="0" workbookViewId="0">
      <selection sqref="A1:L1"/>
    </sheetView>
  </sheetViews>
  <sheetFormatPr defaultRowHeight="13.5"/>
  <cols>
    <col min="1" max="1" width="14" customWidth="1"/>
    <col min="2" max="2" width="10" customWidth="1"/>
    <col min="3" max="3" width="24" customWidth="1"/>
    <col min="4" max="4" width="48" customWidth="1"/>
    <col min="5" max="5" width="30" customWidth="1"/>
    <col min="6" max="6" width="26" customWidth="1"/>
    <col min="7" max="7" width="42" customWidth="1"/>
    <col min="8" max="8" width="32" customWidth="1"/>
    <col min="9" max="9" width="28" customWidth="1"/>
    <col min="10" max="10" width="20" customWidth="1"/>
    <col min="11" max="11" width="10" customWidth="1"/>
    <col min="12" max="12" width="12" customWidth="1"/>
  </cols>
  <sheetData>
    <row r="1" spans="1:12" ht="28.05" customHeight="1">
      <c r="A1" s="53" t="s">
        <v>1549</v>
      </c>
      <c r="B1" s="53" t="s">
        <v>1549</v>
      </c>
      <c r="C1" s="53" t="s">
        <v>1549</v>
      </c>
      <c r="D1" s="53" t="s">
        <v>1549</v>
      </c>
      <c r="E1" s="53" t="s">
        <v>1549</v>
      </c>
      <c r="F1" s="53" t="s">
        <v>1549</v>
      </c>
      <c r="G1" s="53" t="s">
        <v>1549</v>
      </c>
      <c r="H1" s="53" t="s">
        <v>1549</v>
      </c>
      <c r="I1" s="53" t="s">
        <v>1549</v>
      </c>
      <c r="J1" s="53" t="s">
        <v>1549</v>
      </c>
      <c r="K1" s="53" t="s">
        <v>1549</v>
      </c>
      <c r="L1" s="53" t="s">
        <v>1549</v>
      </c>
    </row>
    <row r="2" spans="1:12" ht="38" customHeight="1">
      <c r="A2" s="54" t="s">
        <v>1550</v>
      </c>
      <c r="B2" s="54" t="s">
        <v>1550</v>
      </c>
      <c r="C2" s="54" t="s">
        <v>1550</v>
      </c>
      <c r="D2" s="54" t="s">
        <v>1550</v>
      </c>
      <c r="E2" s="54" t="s">
        <v>1550</v>
      </c>
      <c r="F2" s="54" t="s">
        <v>1550</v>
      </c>
      <c r="G2" s="54" t="s">
        <v>1550</v>
      </c>
      <c r="H2" s="54" t="s">
        <v>1550</v>
      </c>
      <c r="I2" s="54" t="s">
        <v>1550</v>
      </c>
      <c r="J2" s="54" t="s">
        <v>1550</v>
      </c>
      <c r="K2" s="54" t="s">
        <v>1550</v>
      </c>
      <c r="L2" s="54" t="s">
        <v>1550</v>
      </c>
    </row>
    <row r="3" spans="1:12" ht="14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ht="28.05" customHeight="1">
      <c r="A4" s="48" t="s">
        <v>1551</v>
      </c>
      <c r="B4" s="48" t="s">
        <v>1552</v>
      </c>
      <c r="C4" s="48" t="s">
        <v>1553</v>
      </c>
      <c r="D4" s="48" t="s">
        <v>1172</v>
      </c>
      <c r="E4" s="48" t="s">
        <v>1554</v>
      </c>
      <c r="F4" s="48" t="s">
        <v>1555</v>
      </c>
      <c r="G4" s="48" t="s">
        <v>1173</v>
      </c>
      <c r="H4" s="48" t="s">
        <v>1556</v>
      </c>
      <c r="I4" s="48" t="s">
        <v>1175</v>
      </c>
      <c r="J4" s="48" t="s">
        <v>1557</v>
      </c>
      <c r="K4" s="48" t="s">
        <v>786</v>
      </c>
      <c r="L4" s="48" t="s">
        <v>1178</v>
      </c>
    </row>
    <row r="5" spans="1:12" ht="62" customHeight="1">
      <c r="A5" s="49" t="s">
        <v>1558</v>
      </c>
      <c r="B5" s="49" t="s">
        <v>1559</v>
      </c>
      <c r="C5" s="49" t="s">
        <v>1560</v>
      </c>
      <c r="D5" s="49" t="s">
        <v>1561</v>
      </c>
      <c r="E5" s="49" t="s">
        <v>1562</v>
      </c>
      <c r="F5" s="49" t="s">
        <v>1563</v>
      </c>
      <c r="G5" s="49" t="s">
        <v>1564</v>
      </c>
      <c r="H5" s="49" t="s">
        <v>1565</v>
      </c>
      <c r="I5" s="49" t="s">
        <v>1566</v>
      </c>
      <c r="J5" s="49" t="s">
        <v>1567</v>
      </c>
      <c r="K5" s="45" t="s">
        <v>798</v>
      </c>
      <c r="L5" s="49" t="s">
        <v>1187</v>
      </c>
    </row>
    <row r="6" spans="1:12" ht="62" customHeight="1">
      <c r="A6" s="52" t="s">
        <v>1568</v>
      </c>
      <c r="B6" s="52" t="s">
        <v>1559</v>
      </c>
      <c r="C6" s="52" t="s">
        <v>1569</v>
      </c>
      <c r="D6" s="52" t="s">
        <v>1570</v>
      </c>
      <c r="E6" s="52" t="s">
        <v>1571</v>
      </c>
      <c r="F6" s="52" t="s">
        <v>1572</v>
      </c>
      <c r="G6" s="52" t="s">
        <v>1573</v>
      </c>
      <c r="H6" s="52" t="s">
        <v>1574</v>
      </c>
      <c r="I6" s="52" t="s">
        <v>1575</v>
      </c>
      <c r="J6" s="52" t="s">
        <v>1576</v>
      </c>
      <c r="K6" s="45" t="s">
        <v>798</v>
      </c>
      <c r="L6" s="52" t="s">
        <v>1187</v>
      </c>
    </row>
    <row r="7" spans="1:12" ht="62" customHeight="1">
      <c r="A7" s="49" t="s">
        <v>1577</v>
      </c>
      <c r="B7" s="49" t="s">
        <v>1559</v>
      </c>
      <c r="C7" s="49" t="s">
        <v>1578</v>
      </c>
      <c r="D7" s="49" t="s">
        <v>1579</v>
      </c>
      <c r="E7" s="49" t="s">
        <v>1580</v>
      </c>
      <c r="F7" s="49" t="s">
        <v>1581</v>
      </c>
      <c r="G7" s="49" t="s">
        <v>1582</v>
      </c>
      <c r="H7" s="49" t="s">
        <v>1583</v>
      </c>
      <c r="I7" s="49" t="s">
        <v>1584</v>
      </c>
      <c r="J7" s="49" t="s">
        <v>1585</v>
      </c>
      <c r="K7" s="45" t="s">
        <v>798</v>
      </c>
      <c r="L7" s="49" t="s">
        <v>1187</v>
      </c>
    </row>
    <row r="8" spans="1:12" ht="62" customHeight="1">
      <c r="A8" s="52" t="s">
        <v>1586</v>
      </c>
      <c r="B8" s="52" t="s">
        <v>1587</v>
      </c>
      <c r="C8" s="52" t="s">
        <v>1588</v>
      </c>
      <c r="D8" s="52" t="s">
        <v>1589</v>
      </c>
      <c r="E8" s="52" t="s">
        <v>1590</v>
      </c>
      <c r="F8" s="52" t="s">
        <v>1591</v>
      </c>
      <c r="G8" s="52" t="s">
        <v>1592</v>
      </c>
      <c r="H8" s="52" t="s">
        <v>1593</v>
      </c>
      <c r="I8" s="52" t="s">
        <v>1594</v>
      </c>
      <c r="J8" s="52" t="s">
        <v>1595</v>
      </c>
      <c r="K8" s="45" t="s">
        <v>798</v>
      </c>
      <c r="L8" s="52" t="s">
        <v>1187</v>
      </c>
    </row>
    <row r="9" spans="1:12" ht="62" customHeight="1">
      <c r="A9" s="45" t="s">
        <v>1596</v>
      </c>
      <c r="B9" s="45" t="s">
        <v>1587</v>
      </c>
      <c r="C9" s="45" t="s">
        <v>1597</v>
      </c>
      <c r="D9" s="45" t="s">
        <v>1598</v>
      </c>
      <c r="E9" s="45" t="s">
        <v>1599</v>
      </c>
      <c r="F9" s="45" t="s">
        <v>1600</v>
      </c>
      <c r="G9" s="45" t="s">
        <v>1601</v>
      </c>
      <c r="H9" s="45" t="s">
        <v>1602</v>
      </c>
      <c r="I9" s="45" t="s">
        <v>1603</v>
      </c>
      <c r="J9" s="45" t="s">
        <v>1604</v>
      </c>
      <c r="K9" s="45" t="s">
        <v>798</v>
      </c>
      <c r="L9" s="45" t="s">
        <v>1187</v>
      </c>
    </row>
    <row r="10" spans="1:12" ht="62" customHeight="1">
      <c r="A10" s="52" t="s">
        <v>1605</v>
      </c>
      <c r="B10" s="52" t="s">
        <v>1587</v>
      </c>
      <c r="C10" s="52" t="s">
        <v>1606</v>
      </c>
      <c r="D10" s="52" t="s">
        <v>1607</v>
      </c>
      <c r="E10" s="52" t="s">
        <v>1608</v>
      </c>
      <c r="F10" s="52" t="s">
        <v>1572</v>
      </c>
      <c r="G10" s="52" t="s">
        <v>1609</v>
      </c>
      <c r="H10" s="52" t="s">
        <v>1610</v>
      </c>
      <c r="I10" s="52" t="s">
        <v>1611</v>
      </c>
      <c r="J10" s="52" t="s">
        <v>1612</v>
      </c>
      <c r="K10" s="45" t="s">
        <v>798</v>
      </c>
      <c r="L10" s="52" t="s">
        <v>1187</v>
      </c>
    </row>
    <row r="11" spans="1:12" ht="62" customHeight="1">
      <c r="A11" s="45" t="s">
        <v>1613</v>
      </c>
      <c r="B11" s="45" t="s">
        <v>1587</v>
      </c>
      <c r="C11" s="45" t="s">
        <v>1614</v>
      </c>
      <c r="D11" s="45" t="s">
        <v>1615</v>
      </c>
      <c r="E11" s="45" t="s">
        <v>1616</v>
      </c>
      <c r="F11" s="45" t="s">
        <v>1617</v>
      </c>
      <c r="G11" s="45" t="s">
        <v>1618</v>
      </c>
      <c r="H11" s="45" t="s">
        <v>1619</v>
      </c>
      <c r="I11" s="45" t="s">
        <v>1620</v>
      </c>
      <c r="J11" s="45" t="s">
        <v>1604</v>
      </c>
      <c r="K11" s="45" t="s">
        <v>798</v>
      </c>
      <c r="L11" s="45" t="s">
        <v>1187</v>
      </c>
    </row>
    <row r="12" spans="1:12" ht="62" customHeight="1">
      <c r="A12" s="52" t="s">
        <v>1621</v>
      </c>
      <c r="B12" s="52" t="s">
        <v>1587</v>
      </c>
      <c r="C12" s="52" t="s">
        <v>1622</v>
      </c>
      <c r="D12" s="52" t="s">
        <v>1623</v>
      </c>
      <c r="E12" s="52" t="s">
        <v>1624</v>
      </c>
      <c r="F12" s="52" t="s">
        <v>1625</v>
      </c>
      <c r="G12" s="52" t="s">
        <v>1626</v>
      </c>
      <c r="H12" s="52" t="s">
        <v>1627</v>
      </c>
      <c r="I12" s="52" t="s">
        <v>1628</v>
      </c>
      <c r="J12" s="52" t="s">
        <v>1629</v>
      </c>
      <c r="K12" s="45" t="s">
        <v>798</v>
      </c>
      <c r="L12" s="52" t="s">
        <v>1187</v>
      </c>
    </row>
    <row r="13" spans="1:12" ht="62" customHeight="1">
      <c r="A13" s="45" t="s">
        <v>1630</v>
      </c>
      <c r="B13" s="45" t="s">
        <v>1587</v>
      </c>
      <c r="C13" s="45" t="s">
        <v>1631</v>
      </c>
      <c r="D13" s="45" t="s">
        <v>1632</v>
      </c>
      <c r="E13" s="45" t="s">
        <v>1633</v>
      </c>
      <c r="F13" s="45" t="s">
        <v>1634</v>
      </c>
      <c r="G13" s="45" t="s">
        <v>1635</v>
      </c>
      <c r="H13" s="45" t="s">
        <v>1636</v>
      </c>
      <c r="I13" s="45" t="s">
        <v>1637</v>
      </c>
      <c r="J13" s="45" t="s">
        <v>1638</v>
      </c>
      <c r="K13" s="45" t="s">
        <v>798</v>
      </c>
      <c r="L13" s="45" t="s">
        <v>1187</v>
      </c>
    </row>
    <row r="14" spans="1:12" ht="62" customHeight="1">
      <c r="A14" s="52" t="s">
        <v>1639</v>
      </c>
      <c r="B14" s="52" t="s">
        <v>1587</v>
      </c>
      <c r="C14" s="52" t="s">
        <v>1640</v>
      </c>
      <c r="D14" s="52" t="s">
        <v>1641</v>
      </c>
      <c r="E14" s="52" t="s">
        <v>1642</v>
      </c>
      <c r="F14" s="52" t="s">
        <v>1643</v>
      </c>
      <c r="G14" s="52" t="s">
        <v>1644</v>
      </c>
      <c r="H14" s="52" t="s">
        <v>1645</v>
      </c>
      <c r="I14" s="52" t="s">
        <v>1646</v>
      </c>
      <c r="J14" s="52" t="s">
        <v>1647</v>
      </c>
      <c r="K14" s="45" t="s">
        <v>798</v>
      </c>
      <c r="L14" s="52" t="s">
        <v>1187</v>
      </c>
    </row>
    <row r="15" spans="1:12" ht="62" customHeight="1">
      <c r="A15" s="45" t="s">
        <v>1648</v>
      </c>
      <c r="B15" s="45" t="s">
        <v>1587</v>
      </c>
      <c r="C15" s="45" t="s">
        <v>1649</v>
      </c>
      <c r="D15" s="45" t="s">
        <v>1650</v>
      </c>
      <c r="E15" s="45" t="s">
        <v>1651</v>
      </c>
      <c r="F15" s="45" t="s">
        <v>1652</v>
      </c>
      <c r="G15" s="45" t="s">
        <v>1653</v>
      </c>
      <c r="H15" s="45" t="s">
        <v>1654</v>
      </c>
      <c r="I15" s="45" t="s">
        <v>1655</v>
      </c>
      <c r="J15" s="45" t="s">
        <v>1629</v>
      </c>
      <c r="K15" s="45" t="s">
        <v>798</v>
      </c>
      <c r="L15" s="45" t="s">
        <v>1187</v>
      </c>
    </row>
    <row r="16" spans="1:12" ht="62" customHeight="1">
      <c r="A16" s="52" t="s">
        <v>1656</v>
      </c>
      <c r="B16" s="52" t="s">
        <v>1587</v>
      </c>
      <c r="C16" s="52" t="s">
        <v>1657</v>
      </c>
      <c r="D16" s="52" t="s">
        <v>1658</v>
      </c>
      <c r="E16" s="52" t="s">
        <v>1659</v>
      </c>
      <c r="F16" s="52" t="s">
        <v>1660</v>
      </c>
      <c r="G16" s="52" t="s">
        <v>1661</v>
      </c>
      <c r="H16" s="52" t="s">
        <v>1662</v>
      </c>
      <c r="I16" s="52" t="s">
        <v>1663</v>
      </c>
      <c r="J16" s="52" t="s">
        <v>1664</v>
      </c>
      <c r="K16" s="45" t="s">
        <v>798</v>
      </c>
      <c r="L16" s="52" t="s">
        <v>1187</v>
      </c>
    </row>
    <row r="17" spans="1:12" ht="62" customHeight="1">
      <c r="A17" s="45" t="s">
        <v>1665</v>
      </c>
      <c r="B17" s="45" t="s">
        <v>1587</v>
      </c>
      <c r="C17" s="45" t="s">
        <v>1666</v>
      </c>
      <c r="D17" s="45" t="s">
        <v>1667</v>
      </c>
      <c r="E17" s="45" t="s">
        <v>1668</v>
      </c>
      <c r="F17" s="45" t="s">
        <v>1669</v>
      </c>
      <c r="G17" s="45" t="s">
        <v>1670</v>
      </c>
      <c r="H17" s="45" t="s">
        <v>1671</v>
      </c>
      <c r="I17" s="45" t="s">
        <v>1672</v>
      </c>
      <c r="J17" s="45" t="s">
        <v>1673</v>
      </c>
      <c r="K17" s="45" t="s">
        <v>798</v>
      </c>
      <c r="L17" s="45" t="s">
        <v>1187</v>
      </c>
    </row>
    <row r="18" spans="1:12" ht="62" customHeight="1">
      <c r="A18" s="52" t="s">
        <v>1674</v>
      </c>
      <c r="B18" s="52" t="s">
        <v>1675</v>
      </c>
      <c r="C18" s="52" t="s">
        <v>1676</v>
      </c>
      <c r="D18" s="52" t="s">
        <v>1677</v>
      </c>
      <c r="E18" s="52" t="s">
        <v>1678</v>
      </c>
      <c r="F18" s="52" t="s">
        <v>1679</v>
      </c>
      <c r="G18" s="52" t="s">
        <v>1680</v>
      </c>
      <c r="H18" s="52" t="s">
        <v>1681</v>
      </c>
      <c r="I18" s="52" t="s">
        <v>1682</v>
      </c>
      <c r="J18" s="52" t="s">
        <v>1683</v>
      </c>
      <c r="K18" s="45" t="s">
        <v>798</v>
      </c>
      <c r="L18" s="52" t="s">
        <v>1187</v>
      </c>
    </row>
    <row r="19" spans="1:12" ht="62" customHeight="1">
      <c r="A19" s="50" t="s">
        <v>1684</v>
      </c>
      <c r="B19" s="50" t="s">
        <v>1675</v>
      </c>
      <c r="C19" s="50" t="s">
        <v>1685</v>
      </c>
      <c r="D19" s="50" t="s">
        <v>1686</v>
      </c>
      <c r="E19" s="50" t="s">
        <v>1687</v>
      </c>
      <c r="F19" s="50" t="s">
        <v>1688</v>
      </c>
      <c r="G19" s="50" t="s">
        <v>1689</v>
      </c>
      <c r="H19" s="50" t="s">
        <v>1690</v>
      </c>
      <c r="I19" s="50" t="s">
        <v>1691</v>
      </c>
      <c r="J19" s="50" t="s">
        <v>1604</v>
      </c>
      <c r="K19" s="45" t="s">
        <v>798</v>
      </c>
      <c r="L19" s="50" t="s">
        <v>1187</v>
      </c>
    </row>
    <row r="20" spans="1:12" ht="62" customHeight="1">
      <c r="A20" s="52" t="s">
        <v>1692</v>
      </c>
      <c r="B20" s="52" t="s">
        <v>1675</v>
      </c>
      <c r="C20" s="52" t="s">
        <v>1693</v>
      </c>
      <c r="D20" s="52" t="s">
        <v>1694</v>
      </c>
      <c r="E20" s="52" t="s">
        <v>1695</v>
      </c>
      <c r="F20" s="52" t="s">
        <v>1696</v>
      </c>
      <c r="G20" s="52" t="s">
        <v>1697</v>
      </c>
      <c r="H20" s="52" t="s">
        <v>1698</v>
      </c>
      <c r="I20" s="52" t="s">
        <v>1699</v>
      </c>
      <c r="J20" s="52" t="s">
        <v>1700</v>
      </c>
      <c r="K20" s="45" t="s">
        <v>807</v>
      </c>
      <c r="L20" s="52" t="s">
        <v>1187</v>
      </c>
    </row>
    <row r="21" spans="1:12" ht="62" customHeight="1">
      <c r="A21" s="50" t="s">
        <v>1701</v>
      </c>
      <c r="B21" s="50" t="s">
        <v>1675</v>
      </c>
      <c r="C21" s="50" t="s">
        <v>1702</v>
      </c>
      <c r="D21" s="50" t="s">
        <v>1703</v>
      </c>
      <c r="E21" s="50" t="s">
        <v>1704</v>
      </c>
      <c r="F21" s="50" t="s">
        <v>1705</v>
      </c>
      <c r="G21" s="50" t="s">
        <v>1706</v>
      </c>
      <c r="H21" s="50" t="s">
        <v>1707</v>
      </c>
      <c r="I21" s="50" t="s">
        <v>1708</v>
      </c>
      <c r="J21" s="50" t="s">
        <v>1709</v>
      </c>
      <c r="K21" s="45" t="s">
        <v>798</v>
      </c>
      <c r="L21" s="50" t="s">
        <v>1187</v>
      </c>
    </row>
    <row r="22" spans="1:12" ht="62" customHeight="1">
      <c r="A22" s="52" t="s">
        <v>1710</v>
      </c>
      <c r="B22" s="52" t="s">
        <v>1675</v>
      </c>
      <c r="C22" s="52" t="s">
        <v>1711</v>
      </c>
      <c r="D22" s="52" t="s">
        <v>1712</v>
      </c>
      <c r="E22" s="52" t="s">
        <v>1713</v>
      </c>
      <c r="F22" s="52" t="s">
        <v>1714</v>
      </c>
      <c r="G22" s="52" t="s">
        <v>1715</v>
      </c>
      <c r="H22" s="52" t="s">
        <v>1716</v>
      </c>
      <c r="I22" s="52" t="s">
        <v>1717</v>
      </c>
      <c r="J22" s="52" t="s">
        <v>1647</v>
      </c>
      <c r="K22" s="45" t="s">
        <v>798</v>
      </c>
      <c r="L22" s="52" t="s">
        <v>1187</v>
      </c>
    </row>
    <row r="23" spans="1:12" ht="62" customHeight="1">
      <c r="A23" s="50" t="s">
        <v>1718</v>
      </c>
      <c r="B23" s="50" t="s">
        <v>1675</v>
      </c>
      <c r="C23" s="50" t="s">
        <v>1719</v>
      </c>
      <c r="D23" s="50" t="s">
        <v>1720</v>
      </c>
      <c r="E23" s="50" t="s">
        <v>1721</v>
      </c>
      <c r="F23" s="50" t="s">
        <v>1722</v>
      </c>
      <c r="G23" s="50" t="s">
        <v>1723</v>
      </c>
      <c r="H23" s="50" t="s">
        <v>1724</v>
      </c>
      <c r="I23" s="50" t="s">
        <v>1725</v>
      </c>
      <c r="J23" s="50" t="s">
        <v>1726</v>
      </c>
      <c r="K23" s="45" t="s">
        <v>807</v>
      </c>
      <c r="L23" s="50" t="s">
        <v>1187</v>
      </c>
    </row>
    <row r="24" spans="1:12" ht="62" customHeight="1">
      <c r="A24" s="52" t="s">
        <v>1727</v>
      </c>
      <c r="B24" s="52" t="s">
        <v>1675</v>
      </c>
      <c r="C24" s="52" t="s">
        <v>1728</v>
      </c>
      <c r="D24" s="52" t="s">
        <v>1729</v>
      </c>
      <c r="E24" s="52" t="s">
        <v>1730</v>
      </c>
      <c r="F24" s="52" t="s">
        <v>1572</v>
      </c>
      <c r="G24" s="52" t="s">
        <v>1731</v>
      </c>
      <c r="H24" s="52" t="s">
        <v>1732</v>
      </c>
      <c r="I24" s="52" t="s">
        <v>1733</v>
      </c>
      <c r="J24" s="52" t="s">
        <v>1567</v>
      </c>
      <c r="K24" s="45" t="s">
        <v>798</v>
      </c>
      <c r="L24" s="52" t="s">
        <v>1187</v>
      </c>
    </row>
    <row r="25" spans="1:12" ht="62" customHeight="1">
      <c r="A25" s="51" t="s">
        <v>1734</v>
      </c>
      <c r="B25" s="51" t="s">
        <v>917</v>
      </c>
      <c r="C25" s="51" t="s">
        <v>1735</v>
      </c>
      <c r="D25" s="51" t="s">
        <v>1736</v>
      </c>
      <c r="E25" s="51" t="s">
        <v>1737</v>
      </c>
      <c r="F25" s="51" t="s">
        <v>1738</v>
      </c>
      <c r="G25" s="51" t="s">
        <v>1739</v>
      </c>
      <c r="H25" s="51" t="s">
        <v>1740</v>
      </c>
      <c r="I25" s="51" t="s">
        <v>1741</v>
      </c>
      <c r="J25" s="51" t="s">
        <v>1742</v>
      </c>
      <c r="K25" s="45" t="s">
        <v>798</v>
      </c>
      <c r="L25" s="51" t="s">
        <v>1187</v>
      </c>
    </row>
    <row r="26" spans="1:12" ht="62" customHeight="1">
      <c r="A26" s="52" t="s">
        <v>1743</v>
      </c>
      <c r="B26" s="52" t="s">
        <v>917</v>
      </c>
      <c r="C26" s="52" t="s">
        <v>1744</v>
      </c>
      <c r="D26" s="52" t="s">
        <v>1745</v>
      </c>
      <c r="E26" s="52" t="s">
        <v>1746</v>
      </c>
      <c r="F26" s="52" t="s">
        <v>1747</v>
      </c>
      <c r="G26" s="52" t="s">
        <v>1748</v>
      </c>
      <c r="H26" s="52" t="s">
        <v>1749</v>
      </c>
      <c r="I26" s="52" t="s">
        <v>1750</v>
      </c>
      <c r="J26" s="52" t="s">
        <v>1751</v>
      </c>
      <c r="K26" s="45" t="s">
        <v>798</v>
      </c>
      <c r="L26" s="52" t="s">
        <v>1187</v>
      </c>
    </row>
    <row r="27" spans="1:12" ht="62" customHeight="1">
      <c r="A27" s="51" t="s">
        <v>1752</v>
      </c>
      <c r="B27" s="51" t="s">
        <v>917</v>
      </c>
      <c r="C27" s="51" t="s">
        <v>1753</v>
      </c>
      <c r="D27" s="51" t="s">
        <v>1754</v>
      </c>
      <c r="E27" s="51" t="s">
        <v>1755</v>
      </c>
      <c r="F27" s="51" t="s">
        <v>1756</v>
      </c>
      <c r="G27" s="51" t="s">
        <v>1757</v>
      </c>
      <c r="H27" s="51" t="s">
        <v>1758</v>
      </c>
      <c r="I27" s="51" t="s">
        <v>1759</v>
      </c>
      <c r="J27" s="51" t="s">
        <v>1760</v>
      </c>
      <c r="K27" s="45" t="s">
        <v>798</v>
      </c>
      <c r="L27" s="51" t="s">
        <v>1187</v>
      </c>
    </row>
    <row r="28" spans="1:12" ht="62" customHeight="1">
      <c r="A28" s="52" t="s">
        <v>1761</v>
      </c>
      <c r="B28" s="52" t="s">
        <v>917</v>
      </c>
      <c r="C28" s="52" t="s">
        <v>1762</v>
      </c>
      <c r="D28" s="52" t="s">
        <v>1763</v>
      </c>
      <c r="E28" s="52" t="s">
        <v>1764</v>
      </c>
      <c r="F28" s="52" t="s">
        <v>1765</v>
      </c>
      <c r="G28" s="52" t="s">
        <v>1766</v>
      </c>
      <c r="H28" s="52" t="s">
        <v>1767</v>
      </c>
      <c r="I28" s="52" t="s">
        <v>1768</v>
      </c>
      <c r="J28" s="52" t="s">
        <v>1769</v>
      </c>
      <c r="K28" s="45" t="s">
        <v>798</v>
      </c>
      <c r="L28" s="52" t="s">
        <v>1187</v>
      </c>
    </row>
    <row r="29" spans="1:12" ht="62" customHeight="1">
      <c r="A29" s="51" t="s">
        <v>1770</v>
      </c>
      <c r="B29" s="51" t="s">
        <v>917</v>
      </c>
      <c r="C29" s="51" t="s">
        <v>1771</v>
      </c>
      <c r="D29" s="51" t="s">
        <v>1772</v>
      </c>
      <c r="E29" s="51" t="s">
        <v>1773</v>
      </c>
      <c r="F29" s="51" t="s">
        <v>1774</v>
      </c>
      <c r="G29" s="51" t="s">
        <v>1775</v>
      </c>
      <c r="H29" s="51" t="s">
        <v>1776</v>
      </c>
      <c r="I29" s="51" t="s">
        <v>1777</v>
      </c>
      <c r="J29" s="51" t="s">
        <v>1638</v>
      </c>
      <c r="K29" s="45" t="s">
        <v>798</v>
      </c>
      <c r="L29" s="51" t="s">
        <v>1187</v>
      </c>
    </row>
    <row r="30" spans="1:12" ht="62" customHeight="1">
      <c r="A30" s="52" t="s">
        <v>1778</v>
      </c>
      <c r="B30" s="52" t="s">
        <v>917</v>
      </c>
      <c r="C30" s="52" t="s">
        <v>1315</v>
      </c>
      <c r="D30" s="52" t="s">
        <v>1779</v>
      </c>
      <c r="E30" s="52" t="s">
        <v>1780</v>
      </c>
      <c r="F30" s="52" t="s">
        <v>1781</v>
      </c>
      <c r="G30" s="52" t="s">
        <v>1782</v>
      </c>
      <c r="H30" s="52" t="s">
        <v>1783</v>
      </c>
      <c r="I30" s="52" t="s">
        <v>1784</v>
      </c>
      <c r="J30" s="52" t="s">
        <v>1785</v>
      </c>
      <c r="K30" s="45" t="s">
        <v>798</v>
      </c>
      <c r="L30" s="52" t="s">
        <v>1187</v>
      </c>
    </row>
    <row r="31" spans="1:12" ht="62" customHeight="1">
      <c r="A31" s="51" t="s">
        <v>1786</v>
      </c>
      <c r="B31" s="51" t="s">
        <v>917</v>
      </c>
      <c r="C31" s="51" t="s">
        <v>1787</v>
      </c>
      <c r="D31" s="51" t="s">
        <v>1788</v>
      </c>
      <c r="E31" s="51" t="s">
        <v>1789</v>
      </c>
      <c r="F31" s="51" t="s">
        <v>1790</v>
      </c>
      <c r="G31" s="51" t="s">
        <v>1791</v>
      </c>
      <c r="H31" s="51" t="s">
        <v>1792</v>
      </c>
      <c r="I31" s="51" t="s">
        <v>1793</v>
      </c>
      <c r="J31" s="51" t="s">
        <v>1794</v>
      </c>
      <c r="K31" s="45" t="s">
        <v>807</v>
      </c>
      <c r="L31" s="51" t="s">
        <v>1187</v>
      </c>
    </row>
    <row r="32" spans="1:12" ht="62" customHeight="1">
      <c r="A32" s="52" t="s">
        <v>1795</v>
      </c>
      <c r="B32" s="52" t="s">
        <v>917</v>
      </c>
      <c r="C32" s="52" t="s">
        <v>1796</v>
      </c>
      <c r="D32" s="52" t="s">
        <v>1797</v>
      </c>
      <c r="E32" s="52" t="s">
        <v>1798</v>
      </c>
      <c r="F32" s="52" t="s">
        <v>1799</v>
      </c>
      <c r="G32" s="52" t="s">
        <v>1800</v>
      </c>
      <c r="H32" s="52" t="s">
        <v>1801</v>
      </c>
      <c r="I32" s="52" t="s">
        <v>1802</v>
      </c>
      <c r="J32" s="52" t="s">
        <v>1751</v>
      </c>
      <c r="K32" s="45" t="s">
        <v>807</v>
      </c>
      <c r="L32" s="52" t="s">
        <v>1187</v>
      </c>
    </row>
    <row r="33" spans="1:12" ht="62" customHeight="1">
      <c r="A33" s="51" t="s">
        <v>1803</v>
      </c>
      <c r="B33" s="51" t="s">
        <v>917</v>
      </c>
      <c r="C33" s="51" t="s">
        <v>1804</v>
      </c>
      <c r="D33" s="51" t="s">
        <v>1805</v>
      </c>
      <c r="E33" s="51" t="s">
        <v>1806</v>
      </c>
      <c r="F33" s="51" t="s">
        <v>1807</v>
      </c>
      <c r="G33" s="51" t="s">
        <v>1808</v>
      </c>
      <c r="H33" s="51" t="s">
        <v>1809</v>
      </c>
      <c r="I33" s="51" t="s">
        <v>1810</v>
      </c>
      <c r="J33" s="51" t="s">
        <v>1811</v>
      </c>
      <c r="K33" s="45" t="s">
        <v>798</v>
      </c>
      <c r="L33" s="51" t="s">
        <v>1187</v>
      </c>
    </row>
  </sheetData>
  <mergeCells count="2">
    <mergeCell ref="A1:L1"/>
    <mergeCell ref="A2:L2"/>
  </mergeCells>
  <phoneticPr fontId="13" type="noConversion"/>
  <dataValidations count="2">
    <dataValidation type="list" sqref="K5:K33" xr:uid="{00000000-0002-0000-0800-000000000000}">
      <formula1>"P0,P1,P2"</formula1>
    </dataValidation>
    <dataValidation type="list" sqref="L5:L33" xr:uid="{00000000-0002-0000-0800-000001000000}">
      <formula1>"未发起,沟通中,已获取,不可获取,用公开替代"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0531-3B57-4446-A618-88EC217AD0CC}">
  <dimension ref="A1:P34"/>
  <sheetViews>
    <sheetView showGridLines="0" tabSelected="1" workbookViewId="0">
      <selection sqref="A1:P1"/>
    </sheetView>
  </sheetViews>
  <sheetFormatPr defaultRowHeight="13.5"/>
  <cols>
    <col min="1" max="16" width="10" customWidth="1"/>
  </cols>
  <sheetData>
    <row r="1" spans="1:16" ht="30" customHeight="1">
      <c r="A1" s="53" t="s">
        <v>1827</v>
      </c>
      <c r="B1" s="53" t="s">
        <v>1827</v>
      </c>
      <c r="C1" s="53" t="s">
        <v>1827</v>
      </c>
      <c r="D1" s="53" t="s">
        <v>1827</v>
      </c>
      <c r="E1" s="53" t="s">
        <v>1827</v>
      </c>
      <c r="F1" s="53" t="s">
        <v>1827</v>
      </c>
      <c r="G1" s="53" t="s">
        <v>1827</v>
      </c>
      <c r="H1" s="53" t="s">
        <v>1827</v>
      </c>
      <c r="I1" s="53" t="s">
        <v>1827</v>
      </c>
      <c r="J1" s="53" t="s">
        <v>1827</v>
      </c>
      <c r="K1" s="53" t="s">
        <v>1827</v>
      </c>
      <c r="L1" s="53" t="s">
        <v>1827</v>
      </c>
      <c r="M1" s="53" t="s">
        <v>1827</v>
      </c>
      <c r="N1" s="53" t="s">
        <v>1827</v>
      </c>
      <c r="O1" s="53" t="s">
        <v>1827</v>
      </c>
      <c r="P1" s="53" t="s">
        <v>1827</v>
      </c>
    </row>
    <row r="2" spans="1:16" ht="38" customHeight="1">
      <c r="A2" s="54" t="s">
        <v>1826</v>
      </c>
      <c r="B2" s="54" t="s">
        <v>1826</v>
      </c>
      <c r="C2" s="54" t="s">
        <v>1826</v>
      </c>
      <c r="D2" s="54" t="s">
        <v>1826</v>
      </c>
      <c r="E2" s="54" t="s">
        <v>1826</v>
      </c>
      <c r="F2" s="54" t="s">
        <v>1826</v>
      </c>
      <c r="G2" s="54" t="s">
        <v>1826</v>
      </c>
      <c r="H2" s="54" t="s">
        <v>1826</v>
      </c>
      <c r="I2" s="54" t="s">
        <v>1826</v>
      </c>
      <c r="J2" s="54" t="s">
        <v>1826</v>
      </c>
      <c r="K2" s="54" t="s">
        <v>1826</v>
      </c>
      <c r="L2" s="54" t="s">
        <v>1826</v>
      </c>
      <c r="M2" s="54" t="s">
        <v>1826</v>
      </c>
      <c r="N2" s="54" t="s">
        <v>1826</v>
      </c>
      <c r="O2" s="54" t="s">
        <v>1826</v>
      </c>
      <c r="P2" s="54" t="s">
        <v>1826</v>
      </c>
    </row>
    <row r="3" spans="1:16" ht="14.65" thickBo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1:16" ht="24" customHeight="1">
      <c r="A4" s="89" t="s">
        <v>1825</v>
      </c>
      <c r="B4" s="88" t="s">
        <v>1825</v>
      </c>
      <c r="C4" s="88" t="s">
        <v>1825</v>
      </c>
      <c r="D4" s="87" t="s">
        <v>1825</v>
      </c>
      <c r="E4" s="92" t="s">
        <v>1824</v>
      </c>
      <c r="F4" s="91" t="s">
        <v>1824</v>
      </c>
      <c r="G4" s="91" t="s">
        <v>1824</v>
      </c>
      <c r="H4" s="90" t="s">
        <v>1824</v>
      </c>
      <c r="I4" s="86" t="s">
        <v>1823</v>
      </c>
      <c r="J4" s="85" t="s">
        <v>1823</v>
      </c>
      <c r="K4" s="85" t="s">
        <v>1823</v>
      </c>
      <c r="L4" s="84" t="s">
        <v>1823</v>
      </c>
      <c r="M4" s="129" t="s">
        <v>1822</v>
      </c>
      <c r="N4" s="128" t="s">
        <v>1822</v>
      </c>
      <c r="O4" s="128" t="s">
        <v>1822</v>
      </c>
      <c r="P4" s="127" t="s">
        <v>1822</v>
      </c>
    </row>
    <row r="5" spans="1:16" ht="24" customHeight="1">
      <c r="A5" s="80" t="s">
        <v>1825</v>
      </c>
      <c r="B5" s="79" t="s">
        <v>1825</v>
      </c>
      <c r="C5" s="79" t="s">
        <v>1825</v>
      </c>
      <c r="D5" s="78" t="s">
        <v>1825</v>
      </c>
      <c r="E5" s="83" t="s">
        <v>1824</v>
      </c>
      <c r="F5" s="82" t="s">
        <v>1824</v>
      </c>
      <c r="G5" s="82" t="s">
        <v>1824</v>
      </c>
      <c r="H5" s="81" t="s">
        <v>1824</v>
      </c>
      <c r="I5" s="77" t="s">
        <v>1823</v>
      </c>
      <c r="J5" s="76" t="s">
        <v>1823</v>
      </c>
      <c r="K5" s="76" t="s">
        <v>1823</v>
      </c>
      <c r="L5" s="75" t="s">
        <v>1823</v>
      </c>
      <c r="M5" s="126" t="s">
        <v>1822</v>
      </c>
      <c r="N5" s="125" t="s">
        <v>1822</v>
      </c>
      <c r="O5" s="125" t="s">
        <v>1822</v>
      </c>
      <c r="P5" s="124" t="s">
        <v>1822</v>
      </c>
    </row>
    <row r="6" spans="1:16" ht="24" customHeight="1">
      <c r="A6" s="80" t="s">
        <v>1825</v>
      </c>
      <c r="B6" s="79" t="s">
        <v>1825</v>
      </c>
      <c r="C6" s="79" t="s">
        <v>1825</v>
      </c>
      <c r="D6" s="78" t="s">
        <v>1825</v>
      </c>
      <c r="E6" s="83" t="s">
        <v>1824</v>
      </c>
      <c r="F6" s="82" t="s">
        <v>1824</v>
      </c>
      <c r="G6" s="82" t="s">
        <v>1824</v>
      </c>
      <c r="H6" s="81" t="s">
        <v>1824</v>
      </c>
      <c r="I6" s="77" t="s">
        <v>1823</v>
      </c>
      <c r="J6" s="76" t="s">
        <v>1823</v>
      </c>
      <c r="K6" s="76" t="s">
        <v>1823</v>
      </c>
      <c r="L6" s="75" t="s">
        <v>1823</v>
      </c>
      <c r="M6" s="126" t="s">
        <v>1822</v>
      </c>
      <c r="N6" s="125" t="s">
        <v>1822</v>
      </c>
      <c r="O6" s="125" t="s">
        <v>1822</v>
      </c>
      <c r="P6" s="124" t="s">
        <v>1822</v>
      </c>
    </row>
    <row r="7" spans="1:16" ht="24" customHeight="1" thickBot="1">
      <c r="A7" s="71" t="s">
        <v>1825</v>
      </c>
      <c r="B7" s="70" t="s">
        <v>1825</v>
      </c>
      <c r="C7" s="70" t="s">
        <v>1825</v>
      </c>
      <c r="D7" s="69" t="s">
        <v>1825</v>
      </c>
      <c r="E7" s="74" t="s">
        <v>1824</v>
      </c>
      <c r="F7" s="73" t="s">
        <v>1824</v>
      </c>
      <c r="G7" s="73" t="s">
        <v>1824</v>
      </c>
      <c r="H7" s="72" t="s">
        <v>1824</v>
      </c>
      <c r="I7" s="68" t="s">
        <v>1823</v>
      </c>
      <c r="J7" s="67" t="s">
        <v>1823</v>
      </c>
      <c r="K7" s="67" t="s">
        <v>1823</v>
      </c>
      <c r="L7" s="66" t="s">
        <v>1823</v>
      </c>
      <c r="M7" s="123" t="s">
        <v>1822</v>
      </c>
      <c r="N7" s="122" t="s">
        <v>1822</v>
      </c>
      <c r="O7" s="122" t="s">
        <v>1822</v>
      </c>
      <c r="P7" s="121" t="s">
        <v>1822</v>
      </c>
    </row>
    <row r="8" spans="1:16" ht="22.05" customHeight="1">
      <c r="A8" s="93" t="s">
        <v>1816</v>
      </c>
      <c r="B8" s="93" t="s">
        <v>1816</v>
      </c>
      <c r="C8" s="93" t="s">
        <v>1816</v>
      </c>
      <c r="D8" s="93" t="s">
        <v>1816</v>
      </c>
      <c r="E8" s="93" t="s">
        <v>1816</v>
      </c>
      <c r="F8" s="93" t="s">
        <v>1816</v>
      </c>
      <c r="G8" s="93" t="s">
        <v>1816</v>
      </c>
      <c r="H8" s="93" t="s">
        <v>1816</v>
      </c>
      <c r="I8" s="93" t="s">
        <v>1816</v>
      </c>
      <c r="J8" s="93" t="s">
        <v>1816</v>
      </c>
      <c r="K8" s="93" t="s">
        <v>1816</v>
      </c>
      <c r="L8" s="93" t="s">
        <v>1816</v>
      </c>
      <c r="M8" s="93" t="s">
        <v>1816</v>
      </c>
      <c r="N8" s="93" t="s">
        <v>1816</v>
      </c>
      <c r="O8" s="93" t="s">
        <v>1816</v>
      </c>
      <c r="P8" s="93" t="s">
        <v>1816</v>
      </c>
    </row>
    <row r="9" spans="1:16" ht="14.65" thickBo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ht="24" customHeight="1">
      <c r="A10" s="120" t="s">
        <v>1821</v>
      </c>
      <c r="B10" s="119" t="s">
        <v>1821</v>
      </c>
      <c r="C10" s="119" t="s">
        <v>1821</v>
      </c>
      <c r="D10" s="119" t="s">
        <v>1821</v>
      </c>
      <c r="E10" s="118" t="s">
        <v>1821</v>
      </c>
      <c r="F10" s="89" t="s">
        <v>1820</v>
      </c>
      <c r="G10" s="88" t="s">
        <v>1820</v>
      </c>
      <c r="H10" s="88" t="s">
        <v>1820</v>
      </c>
      <c r="I10" s="88" t="s">
        <v>1820</v>
      </c>
      <c r="J10" s="88" t="s">
        <v>1820</v>
      </c>
      <c r="K10" s="87" t="s">
        <v>1820</v>
      </c>
      <c r="L10" s="92" t="s">
        <v>1819</v>
      </c>
      <c r="M10" s="91" t="s">
        <v>1819</v>
      </c>
      <c r="N10" s="91" t="s">
        <v>1819</v>
      </c>
      <c r="O10" s="91" t="s">
        <v>1819</v>
      </c>
      <c r="P10" s="90" t="s">
        <v>1819</v>
      </c>
    </row>
    <row r="11" spans="1:16" ht="24" customHeight="1">
      <c r="A11" s="117" t="s">
        <v>1821</v>
      </c>
      <c r="B11" s="116" t="s">
        <v>1821</v>
      </c>
      <c r="C11" s="116" t="s">
        <v>1821</v>
      </c>
      <c r="D11" s="116" t="s">
        <v>1821</v>
      </c>
      <c r="E11" s="115" t="s">
        <v>1821</v>
      </c>
      <c r="F11" s="80" t="s">
        <v>1820</v>
      </c>
      <c r="G11" s="79" t="s">
        <v>1820</v>
      </c>
      <c r="H11" s="79" t="s">
        <v>1820</v>
      </c>
      <c r="I11" s="79" t="s">
        <v>1820</v>
      </c>
      <c r="J11" s="79" t="s">
        <v>1820</v>
      </c>
      <c r="K11" s="78" t="s">
        <v>1820</v>
      </c>
      <c r="L11" s="83" t="s">
        <v>1819</v>
      </c>
      <c r="M11" s="82" t="s">
        <v>1819</v>
      </c>
      <c r="N11" s="82" t="s">
        <v>1819</v>
      </c>
      <c r="O11" s="82" t="s">
        <v>1819</v>
      </c>
      <c r="P11" s="81" t="s">
        <v>1819</v>
      </c>
    </row>
    <row r="12" spans="1:16" ht="24" customHeight="1">
      <c r="A12" s="117" t="s">
        <v>1821</v>
      </c>
      <c r="B12" s="116" t="s">
        <v>1821</v>
      </c>
      <c r="C12" s="116" t="s">
        <v>1821</v>
      </c>
      <c r="D12" s="116" t="s">
        <v>1821</v>
      </c>
      <c r="E12" s="115" t="s">
        <v>1821</v>
      </c>
      <c r="F12" s="80" t="s">
        <v>1820</v>
      </c>
      <c r="G12" s="79" t="s">
        <v>1820</v>
      </c>
      <c r="H12" s="79" t="s">
        <v>1820</v>
      </c>
      <c r="I12" s="79" t="s">
        <v>1820</v>
      </c>
      <c r="J12" s="79" t="s">
        <v>1820</v>
      </c>
      <c r="K12" s="78" t="s">
        <v>1820</v>
      </c>
      <c r="L12" s="83" t="s">
        <v>1819</v>
      </c>
      <c r="M12" s="82" t="s">
        <v>1819</v>
      </c>
      <c r="N12" s="82" t="s">
        <v>1819</v>
      </c>
      <c r="O12" s="82" t="s">
        <v>1819</v>
      </c>
      <c r="P12" s="81" t="s">
        <v>1819</v>
      </c>
    </row>
    <row r="13" spans="1:16" ht="24" customHeight="1">
      <c r="A13" s="117" t="s">
        <v>1821</v>
      </c>
      <c r="B13" s="116" t="s">
        <v>1821</v>
      </c>
      <c r="C13" s="116" t="s">
        <v>1821</v>
      </c>
      <c r="D13" s="116" t="s">
        <v>1821</v>
      </c>
      <c r="E13" s="115" t="s">
        <v>1821</v>
      </c>
      <c r="F13" s="80" t="s">
        <v>1820</v>
      </c>
      <c r="G13" s="79" t="s">
        <v>1820</v>
      </c>
      <c r="H13" s="79" t="s">
        <v>1820</v>
      </c>
      <c r="I13" s="79" t="s">
        <v>1820</v>
      </c>
      <c r="J13" s="79" t="s">
        <v>1820</v>
      </c>
      <c r="K13" s="78" t="s">
        <v>1820</v>
      </c>
      <c r="L13" s="83" t="s">
        <v>1819</v>
      </c>
      <c r="M13" s="82" t="s">
        <v>1819</v>
      </c>
      <c r="N13" s="82" t="s">
        <v>1819</v>
      </c>
      <c r="O13" s="82" t="s">
        <v>1819</v>
      </c>
      <c r="P13" s="81" t="s">
        <v>1819</v>
      </c>
    </row>
    <row r="14" spans="1:16" ht="24" customHeight="1" thickBot="1">
      <c r="A14" s="114" t="s">
        <v>1821</v>
      </c>
      <c r="B14" s="113" t="s">
        <v>1821</v>
      </c>
      <c r="C14" s="113" t="s">
        <v>1821</v>
      </c>
      <c r="D14" s="113" t="s">
        <v>1821</v>
      </c>
      <c r="E14" s="112" t="s">
        <v>1821</v>
      </c>
      <c r="F14" s="71" t="s">
        <v>1820</v>
      </c>
      <c r="G14" s="70" t="s">
        <v>1820</v>
      </c>
      <c r="H14" s="70" t="s">
        <v>1820</v>
      </c>
      <c r="I14" s="70" t="s">
        <v>1820</v>
      </c>
      <c r="J14" s="70" t="s">
        <v>1820</v>
      </c>
      <c r="K14" s="69" t="s">
        <v>1820</v>
      </c>
      <c r="L14" s="74" t="s">
        <v>1819</v>
      </c>
      <c r="M14" s="73" t="s">
        <v>1819</v>
      </c>
      <c r="N14" s="73" t="s">
        <v>1819</v>
      </c>
      <c r="O14" s="73" t="s">
        <v>1819</v>
      </c>
      <c r="P14" s="72" t="s">
        <v>1819</v>
      </c>
    </row>
    <row r="15" spans="1:16" ht="22.05" customHeight="1">
      <c r="A15" s="93" t="s">
        <v>1816</v>
      </c>
      <c r="B15" s="93" t="s">
        <v>1816</v>
      </c>
      <c r="C15" s="93" t="s">
        <v>1816</v>
      </c>
      <c r="D15" s="93" t="s">
        <v>1816</v>
      </c>
      <c r="E15" s="93" t="s">
        <v>1816</v>
      </c>
      <c r="F15" s="93" t="s">
        <v>1816</v>
      </c>
      <c r="G15" s="93" t="s">
        <v>1816</v>
      </c>
      <c r="H15" s="93" t="s">
        <v>1816</v>
      </c>
      <c r="I15" s="93" t="s">
        <v>1816</v>
      </c>
      <c r="J15" s="93" t="s">
        <v>1816</v>
      </c>
      <c r="K15" s="93" t="s">
        <v>1816</v>
      </c>
      <c r="L15" s="93" t="s">
        <v>1816</v>
      </c>
      <c r="M15" s="93" t="s">
        <v>1816</v>
      </c>
      <c r="N15" s="93" t="s">
        <v>1816</v>
      </c>
      <c r="O15" s="93" t="s">
        <v>1816</v>
      </c>
      <c r="P15" s="93" t="s">
        <v>1816</v>
      </c>
    </row>
    <row r="16" spans="1:16" ht="14.65" thickBo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16" ht="24" customHeight="1">
      <c r="A17" s="111" t="s">
        <v>1818</v>
      </c>
      <c r="B17" s="110" t="s">
        <v>1818</v>
      </c>
      <c r="C17" s="110" t="s">
        <v>1818</v>
      </c>
      <c r="D17" s="110" t="s">
        <v>1818</v>
      </c>
      <c r="E17" s="110" t="s">
        <v>1818</v>
      </c>
      <c r="F17" s="110" t="s">
        <v>1818</v>
      </c>
      <c r="G17" s="110" t="s">
        <v>1818</v>
      </c>
      <c r="H17" s="110" t="s">
        <v>1818</v>
      </c>
      <c r="I17" s="110" t="s">
        <v>1818</v>
      </c>
      <c r="J17" s="110" t="s">
        <v>1818</v>
      </c>
      <c r="K17" s="110" t="s">
        <v>1818</v>
      </c>
      <c r="L17" s="110" t="s">
        <v>1818</v>
      </c>
      <c r="M17" s="110" t="s">
        <v>1818</v>
      </c>
      <c r="N17" s="110" t="s">
        <v>1818</v>
      </c>
      <c r="O17" s="110" t="s">
        <v>1818</v>
      </c>
      <c r="P17" s="109" t="s">
        <v>1818</v>
      </c>
    </row>
    <row r="18" spans="1:16" ht="24" customHeight="1">
      <c r="A18" s="108" t="s">
        <v>1818</v>
      </c>
      <c r="B18" s="107" t="s">
        <v>1818</v>
      </c>
      <c r="C18" s="107" t="s">
        <v>1818</v>
      </c>
      <c r="D18" s="107" t="s">
        <v>1818</v>
      </c>
      <c r="E18" s="107" t="s">
        <v>1818</v>
      </c>
      <c r="F18" s="107" t="s">
        <v>1818</v>
      </c>
      <c r="G18" s="107" t="s">
        <v>1818</v>
      </c>
      <c r="H18" s="107" t="s">
        <v>1818</v>
      </c>
      <c r="I18" s="107" t="s">
        <v>1818</v>
      </c>
      <c r="J18" s="107" t="s">
        <v>1818</v>
      </c>
      <c r="K18" s="107" t="s">
        <v>1818</v>
      </c>
      <c r="L18" s="107" t="s">
        <v>1818</v>
      </c>
      <c r="M18" s="107" t="s">
        <v>1818</v>
      </c>
      <c r="N18" s="107" t="s">
        <v>1818</v>
      </c>
      <c r="O18" s="107" t="s">
        <v>1818</v>
      </c>
      <c r="P18" s="106" t="s">
        <v>1818</v>
      </c>
    </row>
    <row r="19" spans="1:16" ht="24" customHeight="1">
      <c r="A19" s="108" t="s">
        <v>1818</v>
      </c>
      <c r="B19" s="107" t="s">
        <v>1818</v>
      </c>
      <c r="C19" s="107" t="s">
        <v>1818</v>
      </c>
      <c r="D19" s="107" t="s">
        <v>1818</v>
      </c>
      <c r="E19" s="107" t="s">
        <v>1818</v>
      </c>
      <c r="F19" s="107" t="s">
        <v>1818</v>
      </c>
      <c r="G19" s="107" t="s">
        <v>1818</v>
      </c>
      <c r="H19" s="107" t="s">
        <v>1818</v>
      </c>
      <c r="I19" s="107" t="s">
        <v>1818</v>
      </c>
      <c r="J19" s="107" t="s">
        <v>1818</v>
      </c>
      <c r="K19" s="107" t="s">
        <v>1818</v>
      </c>
      <c r="L19" s="107" t="s">
        <v>1818</v>
      </c>
      <c r="M19" s="107" t="s">
        <v>1818</v>
      </c>
      <c r="N19" s="107" t="s">
        <v>1818</v>
      </c>
      <c r="O19" s="107" t="s">
        <v>1818</v>
      </c>
      <c r="P19" s="106" t="s">
        <v>1818</v>
      </c>
    </row>
    <row r="20" spans="1:16" ht="24" customHeight="1" thickBot="1">
      <c r="A20" s="105" t="s">
        <v>1818</v>
      </c>
      <c r="B20" s="104" t="s">
        <v>1818</v>
      </c>
      <c r="C20" s="104" t="s">
        <v>1818</v>
      </c>
      <c r="D20" s="104" t="s">
        <v>1818</v>
      </c>
      <c r="E20" s="104" t="s">
        <v>1818</v>
      </c>
      <c r="F20" s="104" t="s">
        <v>1818</v>
      </c>
      <c r="G20" s="104" t="s">
        <v>1818</v>
      </c>
      <c r="H20" s="104" t="s">
        <v>1818</v>
      </c>
      <c r="I20" s="104" t="s">
        <v>1818</v>
      </c>
      <c r="J20" s="104" t="s">
        <v>1818</v>
      </c>
      <c r="K20" s="104" t="s">
        <v>1818</v>
      </c>
      <c r="L20" s="104" t="s">
        <v>1818</v>
      </c>
      <c r="M20" s="104" t="s">
        <v>1818</v>
      </c>
      <c r="N20" s="104" t="s">
        <v>1818</v>
      </c>
      <c r="O20" s="104" t="s">
        <v>1818</v>
      </c>
      <c r="P20" s="103" t="s">
        <v>1818</v>
      </c>
    </row>
    <row r="21" spans="1:16" ht="22.05" customHeight="1">
      <c r="A21" s="93" t="s">
        <v>1816</v>
      </c>
      <c r="B21" s="93" t="s">
        <v>1816</v>
      </c>
      <c r="C21" s="93" t="s">
        <v>1816</v>
      </c>
      <c r="D21" s="93" t="s">
        <v>1816</v>
      </c>
      <c r="E21" s="93" t="s">
        <v>1816</v>
      </c>
      <c r="F21" s="93" t="s">
        <v>1816</v>
      </c>
      <c r="G21" s="93" t="s">
        <v>1816</v>
      </c>
      <c r="H21" s="93" t="s">
        <v>1816</v>
      </c>
      <c r="I21" s="93" t="s">
        <v>1816</v>
      </c>
      <c r="J21" s="93" t="s">
        <v>1816</v>
      </c>
      <c r="K21" s="93" t="s">
        <v>1816</v>
      </c>
      <c r="L21" s="93" t="s">
        <v>1816</v>
      </c>
      <c r="M21" s="93" t="s">
        <v>1816</v>
      </c>
      <c r="N21" s="93" t="s">
        <v>1816</v>
      </c>
      <c r="O21" s="93" t="s">
        <v>1816</v>
      </c>
      <c r="P21" s="93" t="s">
        <v>1816</v>
      </c>
    </row>
    <row r="22" spans="1:16" ht="14.65" thickBo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  <row r="23" spans="1:16" ht="24" customHeight="1">
      <c r="A23" s="102" t="s">
        <v>1817</v>
      </c>
      <c r="B23" s="101" t="s">
        <v>1817</v>
      </c>
      <c r="C23" s="101" t="s">
        <v>1817</v>
      </c>
      <c r="D23" s="101" t="s">
        <v>1817</v>
      </c>
      <c r="E23" s="101" t="s">
        <v>1817</v>
      </c>
      <c r="F23" s="101" t="s">
        <v>1817</v>
      </c>
      <c r="G23" s="101" t="s">
        <v>1817</v>
      </c>
      <c r="H23" s="101" t="s">
        <v>1817</v>
      </c>
      <c r="I23" s="101" t="s">
        <v>1817</v>
      </c>
      <c r="J23" s="101" t="s">
        <v>1817</v>
      </c>
      <c r="K23" s="101" t="s">
        <v>1817</v>
      </c>
      <c r="L23" s="101" t="s">
        <v>1817</v>
      </c>
      <c r="M23" s="101" t="s">
        <v>1817</v>
      </c>
      <c r="N23" s="101" t="s">
        <v>1817</v>
      </c>
      <c r="O23" s="101" t="s">
        <v>1817</v>
      </c>
      <c r="P23" s="100" t="s">
        <v>1817</v>
      </c>
    </row>
    <row r="24" spans="1:16" ht="24" customHeight="1">
      <c r="A24" s="99" t="s">
        <v>1817</v>
      </c>
      <c r="B24" s="98" t="s">
        <v>1817</v>
      </c>
      <c r="C24" s="98" t="s">
        <v>1817</v>
      </c>
      <c r="D24" s="98" t="s">
        <v>1817</v>
      </c>
      <c r="E24" s="98" t="s">
        <v>1817</v>
      </c>
      <c r="F24" s="98" t="s">
        <v>1817</v>
      </c>
      <c r="G24" s="98" t="s">
        <v>1817</v>
      </c>
      <c r="H24" s="98" t="s">
        <v>1817</v>
      </c>
      <c r="I24" s="98" t="s">
        <v>1817</v>
      </c>
      <c r="J24" s="98" t="s">
        <v>1817</v>
      </c>
      <c r="K24" s="98" t="s">
        <v>1817</v>
      </c>
      <c r="L24" s="98" t="s">
        <v>1817</v>
      </c>
      <c r="M24" s="98" t="s">
        <v>1817</v>
      </c>
      <c r="N24" s="98" t="s">
        <v>1817</v>
      </c>
      <c r="O24" s="98" t="s">
        <v>1817</v>
      </c>
      <c r="P24" s="97" t="s">
        <v>1817</v>
      </c>
    </row>
    <row r="25" spans="1:16" ht="24" customHeight="1">
      <c r="A25" s="99" t="s">
        <v>1817</v>
      </c>
      <c r="B25" s="98" t="s">
        <v>1817</v>
      </c>
      <c r="C25" s="98" t="s">
        <v>1817</v>
      </c>
      <c r="D25" s="98" t="s">
        <v>1817</v>
      </c>
      <c r="E25" s="98" t="s">
        <v>1817</v>
      </c>
      <c r="F25" s="98" t="s">
        <v>1817</v>
      </c>
      <c r="G25" s="98" t="s">
        <v>1817</v>
      </c>
      <c r="H25" s="98" t="s">
        <v>1817</v>
      </c>
      <c r="I25" s="98" t="s">
        <v>1817</v>
      </c>
      <c r="J25" s="98" t="s">
        <v>1817</v>
      </c>
      <c r="K25" s="98" t="s">
        <v>1817</v>
      </c>
      <c r="L25" s="98" t="s">
        <v>1817</v>
      </c>
      <c r="M25" s="98" t="s">
        <v>1817</v>
      </c>
      <c r="N25" s="98" t="s">
        <v>1817</v>
      </c>
      <c r="O25" s="98" t="s">
        <v>1817</v>
      </c>
      <c r="P25" s="97" t="s">
        <v>1817</v>
      </c>
    </row>
    <row r="26" spans="1:16" ht="24" customHeight="1">
      <c r="A26" s="99" t="s">
        <v>1817</v>
      </c>
      <c r="B26" s="98" t="s">
        <v>1817</v>
      </c>
      <c r="C26" s="98" t="s">
        <v>1817</v>
      </c>
      <c r="D26" s="98" t="s">
        <v>1817</v>
      </c>
      <c r="E26" s="98" t="s">
        <v>1817</v>
      </c>
      <c r="F26" s="98" t="s">
        <v>1817</v>
      </c>
      <c r="G26" s="98" t="s">
        <v>1817</v>
      </c>
      <c r="H26" s="98" t="s">
        <v>1817</v>
      </c>
      <c r="I26" s="98" t="s">
        <v>1817</v>
      </c>
      <c r="J26" s="98" t="s">
        <v>1817</v>
      </c>
      <c r="K26" s="98" t="s">
        <v>1817</v>
      </c>
      <c r="L26" s="98" t="s">
        <v>1817</v>
      </c>
      <c r="M26" s="98" t="s">
        <v>1817</v>
      </c>
      <c r="N26" s="98" t="s">
        <v>1817</v>
      </c>
      <c r="O26" s="98" t="s">
        <v>1817</v>
      </c>
      <c r="P26" s="97" t="s">
        <v>1817</v>
      </c>
    </row>
    <row r="27" spans="1:16" ht="24" customHeight="1" thickBot="1">
      <c r="A27" s="96" t="s">
        <v>1817</v>
      </c>
      <c r="B27" s="95" t="s">
        <v>1817</v>
      </c>
      <c r="C27" s="95" t="s">
        <v>1817</v>
      </c>
      <c r="D27" s="95" t="s">
        <v>1817</v>
      </c>
      <c r="E27" s="95" t="s">
        <v>1817</v>
      </c>
      <c r="F27" s="95" t="s">
        <v>1817</v>
      </c>
      <c r="G27" s="95" t="s">
        <v>1817</v>
      </c>
      <c r="H27" s="95" t="s">
        <v>1817</v>
      </c>
      <c r="I27" s="95" t="s">
        <v>1817</v>
      </c>
      <c r="J27" s="95" t="s">
        <v>1817</v>
      </c>
      <c r="K27" s="95" t="s">
        <v>1817</v>
      </c>
      <c r="L27" s="95" t="s">
        <v>1817</v>
      </c>
      <c r="M27" s="95" t="s">
        <v>1817</v>
      </c>
      <c r="N27" s="95" t="s">
        <v>1817</v>
      </c>
      <c r="O27" s="95" t="s">
        <v>1817</v>
      </c>
      <c r="P27" s="94" t="s">
        <v>1817</v>
      </c>
    </row>
    <row r="28" spans="1:16" ht="22.05" customHeight="1">
      <c r="A28" s="93" t="s">
        <v>1816</v>
      </c>
      <c r="B28" s="93" t="s">
        <v>1816</v>
      </c>
      <c r="C28" s="93" t="s">
        <v>1816</v>
      </c>
      <c r="D28" s="93" t="s">
        <v>1816</v>
      </c>
      <c r="E28" s="93" t="s">
        <v>1816</v>
      </c>
      <c r="F28" s="93" t="s">
        <v>1816</v>
      </c>
      <c r="G28" s="93" t="s">
        <v>1816</v>
      </c>
      <c r="H28" s="93" t="s">
        <v>1816</v>
      </c>
      <c r="I28" s="93" t="s">
        <v>1816</v>
      </c>
      <c r="J28" s="93" t="s">
        <v>1816</v>
      </c>
      <c r="K28" s="93" t="s">
        <v>1816</v>
      </c>
      <c r="L28" s="93" t="s">
        <v>1816</v>
      </c>
      <c r="M28" s="93" t="s">
        <v>1816</v>
      </c>
      <c r="N28" s="93" t="s">
        <v>1816</v>
      </c>
      <c r="O28" s="93" t="s">
        <v>1816</v>
      </c>
      <c r="P28" s="93" t="s">
        <v>1816</v>
      </c>
    </row>
    <row r="29" spans="1:16" ht="14.65" thickBo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1:16" ht="24" customHeight="1">
      <c r="A30" s="92" t="s">
        <v>1815</v>
      </c>
      <c r="B30" s="91" t="s">
        <v>1815</v>
      </c>
      <c r="C30" s="91" t="s">
        <v>1815</v>
      </c>
      <c r="D30" s="91" t="s">
        <v>1815</v>
      </c>
      <c r="E30" s="90" t="s">
        <v>1815</v>
      </c>
      <c r="F30" s="89" t="s">
        <v>1814</v>
      </c>
      <c r="G30" s="88" t="s">
        <v>1814</v>
      </c>
      <c r="H30" s="88" t="s">
        <v>1814</v>
      </c>
      <c r="I30" s="88" t="s">
        <v>1814</v>
      </c>
      <c r="J30" s="88" t="s">
        <v>1814</v>
      </c>
      <c r="K30" s="87" t="s">
        <v>1814</v>
      </c>
      <c r="L30" s="86" t="s">
        <v>1813</v>
      </c>
      <c r="M30" s="85" t="s">
        <v>1813</v>
      </c>
      <c r="N30" s="85" t="s">
        <v>1813</v>
      </c>
      <c r="O30" s="85" t="s">
        <v>1813</v>
      </c>
      <c r="P30" s="84" t="s">
        <v>1813</v>
      </c>
    </row>
    <row r="31" spans="1:16" ht="24" customHeight="1">
      <c r="A31" s="83" t="s">
        <v>1815</v>
      </c>
      <c r="B31" s="82" t="s">
        <v>1815</v>
      </c>
      <c r="C31" s="82" t="s">
        <v>1815</v>
      </c>
      <c r="D31" s="82" t="s">
        <v>1815</v>
      </c>
      <c r="E31" s="81" t="s">
        <v>1815</v>
      </c>
      <c r="F31" s="80" t="s">
        <v>1814</v>
      </c>
      <c r="G31" s="79" t="s">
        <v>1814</v>
      </c>
      <c r="H31" s="79" t="s">
        <v>1814</v>
      </c>
      <c r="I31" s="79" t="s">
        <v>1814</v>
      </c>
      <c r="J31" s="79" t="s">
        <v>1814</v>
      </c>
      <c r="K31" s="78" t="s">
        <v>1814</v>
      </c>
      <c r="L31" s="77" t="s">
        <v>1813</v>
      </c>
      <c r="M31" s="76" t="s">
        <v>1813</v>
      </c>
      <c r="N31" s="76" t="s">
        <v>1813</v>
      </c>
      <c r="O31" s="76" t="s">
        <v>1813</v>
      </c>
      <c r="P31" s="75" t="s">
        <v>1813</v>
      </c>
    </row>
    <row r="32" spans="1:16" ht="24" customHeight="1">
      <c r="A32" s="83" t="s">
        <v>1815</v>
      </c>
      <c r="B32" s="82" t="s">
        <v>1815</v>
      </c>
      <c r="C32" s="82" t="s">
        <v>1815</v>
      </c>
      <c r="D32" s="82" t="s">
        <v>1815</v>
      </c>
      <c r="E32" s="81" t="s">
        <v>1815</v>
      </c>
      <c r="F32" s="80" t="s">
        <v>1814</v>
      </c>
      <c r="G32" s="79" t="s">
        <v>1814</v>
      </c>
      <c r="H32" s="79" t="s">
        <v>1814</v>
      </c>
      <c r="I32" s="79" t="s">
        <v>1814</v>
      </c>
      <c r="J32" s="79" t="s">
        <v>1814</v>
      </c>
      <c r="K32" s="78" t="s">
        <v>1814</v>
      </c>
      <c r="L32" s="77" t="s">
        <v>1813</v>
      </c>
      <c r="M32" s="76" t="s">
        <v>1813</v>
      </c>
      <c r="N32" s="76" t="s">
        <v>1813</v>
      </c>
      <c r="O32" s="76" t="s">
        <v>1813</v>
      </c>
      <c r="P32" s="75" t="s">
        <v>1813</v>
      </c>
    </row>
    <row r="33" spans="1:16" ht="24" customHeight="1">
      <c r="A33" s="83" t="s">
        <v>1815</v>
      </c>
      <c r="B33" s="82" t="s">
        <v>1815</v>
      </c>
      <c r="C33" s="82" t="s">
        <v>1815</v>
      </c>
      <c r="D33" s="82" t="s">
        <v>1815</v>
      </c>
      <c r="E33" s="81" t="s">
        <v>1815</v>
      </c>
      <c r="F33" s="80" t="s">
        <v>1814</v>
      </c>
      <c r="G33" s="79" t="s">
        <v>1814</v>
      </c>
      <c r="H33" s="79" t="s">
        <v>1814</v>
      </c>
      <c r="I33" s="79" t="s">
        <v>1814</v>
      </c>
      <c r="J33" s="79" t="s">
        <v>1814</v>
      </c>
      <c r="K33" s="78" t="s">
        <v>1814</v>
      </c>
      <c r="L33" s="77" t="s">
        <v>1813</v>
      </c>
      <c r="M33" s="76" t="s">
        <v>1813</v>
      </c>
      <c r="N33" s="76" t="s">
        <v>1813</v>
      </c>
      <c r="O33" s="76" t="s">
        <v>1813</v>
      </c>
      <c r="P33" s="75" t="s">
        <v>1813</v>
      </c>
    </row>
    <row r="34" spans="1:16" ht="24" customHeight="1" thickBot="1">
      <c r="A34" s="74" t="s">
        <v>1815</v>
      </c>
      <c r="B34" s="73" t="s">
        <v>1815</v>
      </c>
      <c r="C34" s="73" t="s">
        <v>1815</v>
      </c>
      <c r="D34" s="73" t="s">
        <v>1815</v>
      </c>
      <c r="E34" s="72" t="s">
        <v>1815</v>
      </c>
      <c r="F34" s="71" t="s">
        <v>1814</v>
      </c>
      <c r="G34" s="70" t="s">
        <v>1814</v>
      </c>
      <c r="H34" s="70" t="s">
        <v>1814</v>
      </c>
      <c r="I34" s="70" t="s">
        <v>1814</v>
      </c>
      <c r="J34" s="70" t="s">
        <v>1814</v>
      </c>
      <c r="K34" s="69" t="s">
        <v>1814</v>
      </c>
      <c r="L34" s="68" t="s">
        <v>1813</v>
      </c>
      <c r="M34" s="67" t="s">
        <v>1813</v>
      </c>
      <c r="N34" s="67" t="s">
        <v>1813</v>
      </c>
      <c r="O34" s="67" t="s">
        <v>1813</v>
      </c>
      <c r="P34" s="66" t="s">
        <v>1813</v>
      </c>
    </row>
  </sheetData>
  <mergeCells count="18">
    <mergeCell ref="A17:P20"/>
    <mergeCell ref="A23:P27"/>
    <mergeCell ref="A1:P1"/>
    <mergeCell ref="A2:P2"/>
    <mergeCell ref="A4:D7"/>
    <mergeCell ref="E4:H7"/>
    <mergeCell ref="I4:L7"/>
    <mergeCell ref="M4:P7"/>
    <mergeCell ref="A30:E34"/>
    <mergeCell ref="F30:K34"/>
    <mergeCell ref="L30:P34"/>
    <mergeCell ref="A8:P8"/>
    <mergeCell ref="A15:P15"/>
    <mergeCell ref="A21:P21"/>
    <mergeCell ref="A28:P28"/>
    <mergeCell ref="A10:E14"/>
    <mergeCell ref="F10:K14"/>
    <mergeCell ref="L10:P14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00_使用说明</vt:lpstr>
      <vt:lpstr>01_测点损耗边界</vt:lpstr>
      <vt:lpstr>02_统一变量字典</vt:lpstr>
      <vt:lpstr>03_国产参考设备</vt:lpstr>
      <vt:lpstr>04_同场数据规范</vt:lpstr>
      <vt:lpstr>05_公式参数设备整理</vt:lpstr>
      <vt:lpstr>06_4.3企业交流清单</vt:lpstr>
      <vt:lpstr>07_公开资料清单</vt:lpstr>
      <vt:lpstr>09_多目标企业交流清单</vt:lpstr>
      <vt:lpstr>04_4.3模型接口图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 l</cp:lastModifiedBy>
  <cp:lastPrinted>2026-07-15T05:32:03Z</cp:lastPrinted>
  <dcterms:modified xsi:type="dcterms:W3CDTF">2026-07-15T11:30:46Z</dcterms:modified>
</cp:coreProperties>
</file>